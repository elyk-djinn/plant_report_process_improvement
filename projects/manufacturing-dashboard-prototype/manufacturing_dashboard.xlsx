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3.xml" ContentType="application/vnd.openxmlformats-officedocument.drawing+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53222"/>
  <mc:AlternateContent xmlns:mc="http://schemas.openxmlformats.org/markup-compatibility/2006">
    <mc:Choice Requires="x15">
      <x15ac:absPath xmlns:x15ac="http://schemas.microsoft.com/office/spreadsheetml/2010/11/ac" url="C:\Users\Kyle\Desktop\"/>
    </mc:Choice>
  </mc:AlternateContent>
  <bookViews>
    <workbookView xWindow="0" yWindow="0" windowWidth="19200" windowHeight="11595"/>
  </bookViews>
  <sheets>
    <sheet name="Dashboard" sheetId="1" r:id="rId1"/>
    <sheet name="Data" sheetId="3" r:id="rId2"/>
    <sheet name="Pivot Tables" sheetId="5" r:id="rId3"/>
    <sheet name="Pivot Tables 2" sheetId="8" r:id="rId4"/>
  </sheets>
  <definedNames>
    <definedName name="Slicer_Month1">#N/A</definedName>
    <definedName name="Slicer_Year1">#N/A</definedName>
  </definedNames>
  <calcPr calcId="152511"/>
  <pivotCaches>
    <pivotCache cacheId="8"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N5" i="3" l="1"/>
  <c r="N6" i="3"/>
  <c r="N7" i="3"/>
  <c r="N8" i="3"/>
  <c r="N9" i="3"/>
  <c r="N10" i="3"/>
  <c r="N11" i="3"/>
  <c r="N12" i="3"/>
  <c r="N13" i="3"/>
  <c r="N14" i="3"/>
  <c r="N15" i="3"/>
  <c r="N16" i="3"/>
  <c r="N17" i="3"/>
  <c r="N18" i="3"/>
  <c r="N19" i="3"/>
  <c r="N20" i="3"/>
  <c r="N21" i="3"/>
  <c r="N22" i="3"/>
  <c r="N23" i="3"/>
  <c r="N24" i="3"/>
  <c r="N25" i="3"/>
  <c r="N26" i="3"/>
  <c r="N27" i="3"/>
  <c r="N28" i="3"/>
  <c r="N29" i="3"/>
  <c r="N30" i="3"/>
  <c r="N31" i="3"/>
  <c r="N32" i="3"/>
  <c r="N33" i="3"/>
  <c r="N34" i="3"/>
  <c r="N35" i="3"/>
  <c r="N36" i="3"/>
  <c r="N37" i="3"/>
  <c r="N38" i="3"/>
  <c r="N39" i="3"/>
  <c r="N40" i="3"/>
  <c r="N41" i="3"/>
  <c r="N42" i="3"/>
  <c r="N43" i="3"/>
  <c r="N44" i="3"/>
  <c r="N45" i="3"/>
  <c r="N46" i="3"/>
  <c r="N47" i="3"/>
  <c r="N48" i="3"/>
  <c r="N49" i="3"/>
  <c r="N50" i="3"/>
  <c r="N51" i="3"/>
  <c r="N52" i="3"/>
  <c r="N53" i="3"/>
  <c r="N54" i="3"/>
  <c r="N55" i="3"/>
  <c r="N56" i="3"/>
  <c r="N57" i="3"/>
  <c r="N58" i="3"/>
  <c r="N59" i="3"/>
  <c r="N60" i="3"/>
  <c r="N61" i="3"/>
  <c r="N62" i="3"/>
  <c r="N63" i="3"/>
  <c r="N64" i="3"/>
  <c r="M5" i="3"/>
  <c r="M6" i="3"/>
  <c r="M7" i="3"/>
  <c r="M8" i="3"/>
  <c r="M9" i="3"/>
  <c r="M10" i="3"/>
  <c r="M11" i="3"/>
  <c r="M12" i="3"/>
  <c r="M13" i="3"/>
  <c r="M14" i="3"/>
  <c r="M15" i="3"/>
  <c r="M16" i="3"/>
  <c r="M17" i="3"/>
  <c r="M18" i="3"/>
  <c r="M19" i="3"/>
  <c r="M20" i="3"/>
  <c r="M21" i="3"/>
  <c r="M22" i="3"/>
  <c r="M23" i="3"/>
  <c r="M24" i="3"/>
  <c r="M25" i="3"/>
  <c r="M26" i="3"/>
  <c r="M27" i="3"/>
  <c r="M28" i="3"/>
  <c r="M29" i="3"/>
  <c r="M30" i="3"/>
  <c r="M31" i="3"/>
  <c r="M32" i="3"/>
  <c r="M33" i="3"/>
  <c r="M34" i="3"/>
  <c r="M35" i="3"/>
  <c r="M36" i="3"/>
  <c r="M37" i="3"/>
  <c r="M38" i="3"/>
  <c r="M39" i="3"/>
  <c r="M40" i="3"/>
  <c r="M41" i="3"/>
  <c r="M42" i="3"/>
  <c r="M43" i="3"/>
  <c r="M44" i="3"/>
  <c r="M45" i="3"/>
  <c r="M46" i="3"/>
  <c r="M47" i="3"/>
  <c r="M48" i="3"/>
  <c r="M49" i="3"/>
  <c r="M50" i="3"/>
  <c r="M51" i="3"/>
  <c r="M52" i="3"/>
  <c r="M53" i="3"/>
  <c r="M54" i="3"/>
  <c r="M55" i="3"/>
  <c r="M56" i="3"/>
  <c r="M57" i="3"/>
  <c r="M58" i="3"/>
  <c r="M59" i="3"/>
  <c r="M60" i="3"/>
  <c r="M61" i="3"/>
  <c r="M62" i="3"/>
  <c r="M63" i="3"/>
  <c r="M64" i="3"/>
  <c r="L5" i="3"/>
  <c r="L6" i="3"/>
  <c r="L7" i="3"/>
  <c r="L8" i="3"/>
  <c r="L9" i="3"/>
  <c r="L10" i="3"/>
  <c r="L11" i="3"/>
  <c r="L12" i="3"/>
  <c r="L13" i="3"/>
  <c r="L14" i="3"/>
  <c r="L15" i="3"/>
  <c r="L16" i="3"/>
  <c r="L17" i="3"/>
  <c r="L18" i="3"/>
  <c r="L19" i="3"/>
  <c r="L20" i="3"/>
  <c r="L21" i="3"/>
  <c r="L22" i="3"/>
  <c r="L23" i="3"/>
  <c r="L24" i="3"/>
  <c r="L25" i="3"/>
  <c r="L26" i="3"/>
  <c r="L27" i="3"/>
  <c r="L28" i="3"/>
  <c r="L29" i="3"/>
  <c r="L30" i="3"/>
  <c r="L31" i="3"/>
  <c r="L32" i="3"/>
  <c r="L33" i="3"/>
  <c r="L34" i="3"/>
  <c r="L35" i="3"/>
  <c r="L36" i="3"/>
  <c r="L37" i="3"/>
  <c r="L38" i="3"/>
  <c r="L39" i="3"/>
  <c r="L40" i="3"/>
  <c r="L41" i="3"/>
  <c r="L42" i="3"/>
  <c r="L43" i="3"/>
  <c r="L44" i="3"/>
  <c r="L45" i="3"/>
  <c r="L46" i="3"/>
  <c r="L47" i="3"/>
  <c r="L48" i="3"/>
  <c r="L49" i="3"/>
  <c r="L50" i="3"/>
  <c r="L51" i="3"/>
  <c r="L52" i="3"/>
  <c r="L53" i="3"/>
  <c r="L54" i="3"/>
  <c r="L55" i="3"/>
  <c r="L56" i="3"/>
  <c r="L57" i="3"/>
  <c r="L58" i="3"/>
  <c r="L59" i="3"/>
  <c r="L60" i="3"/>
  <c r="L61" i="3"/>
  <c r="L62" i="3"/>
  <c r="L63" i="3"/>
  <c r="L64" i="3"/>
  <c r="J5" i="3"/>
  <c r="K5" i="3" s="1"/>
  <c r="J6" i="3"/>
  <c r="K6" i="3" s="1"/>
  <c r="J7" i="3"/>
  <c r="K7" i="3" s="1"/>
  <c r="J8" i="3"/>
  <c r="K8" i="3" s="1"/>
  <c r="J9" i="3"/>
  <c r="K9" i="3" s="1"/>
  <c r="J10" i="3"/>
  <c r="K10" i="3" s="1"/>
  <c r="J11" i="3"/>
  <c r="K11" i="3" s="1"/>
  <c r="J12" i="3"/>
  <c r="K12" i="3" s="1"/>
  <c r="J13" i="3"/>
  <c r="K13" i="3" s="1"/>
  <c r="J14" i="3"/>
  <c r="K14" i="3" s="1"/>
  <c r="J15" i="3"/>
  <c r="K15" i="3" s="1"/>
  <c r="J16" i="3"/>
  <c r="K16" i="3" s="1"/>
  <c r="J17" i="3"/>
  <c r="K17" i="3" s="1"/>
  <c r="J18" i="3"/>
  <c r="K18" i="3" s="1"/>
  <c r="J19" i="3"/>
  <c r="K19" i="3" s="1"/>
  <c r="J20" i="3"/>
  <c r="K20" i="3" s="1"/>
  <c r="J21" i="3"/>
  <c r="K21" i="3" s="1"/>
  <c r="J22" i="3"/>
  <c r="K22" i="3" s="1"/>
  <c r="J23" i="3"/>
  <c r="K23" i="3" s="1"/>
  <c r="J24" i="3"/>
  <c r="K24" i="3" s="1"/>
  <c r="J25" i="3"/>
  <c r="K25" i="3" s="1"/>
  <c r="J26" i="3"/>
  <c r="K26" i="3" s="1"/>
  <c r="J27" i="3"/>
  <c r="K27" i="3" s="1"/>
  <c r="J28" i="3"/>
  <c r="K28" i="3" s="1"/>
  <c r="J29" i="3"/>
  <c r="K29" i="3" s="1"/>
  <c r="J30" i="3"/>
  <c r="K30" i="3" s="1"/>
  <c r="J31" i="3"/>
  <c r="K31" i="3" s="1"/>
  <c r="J32" i="3"/>
  <c r="K32" i="3" s="1"/>
  <c r="J33" i="3"/>
  <c r="K33" i="3" s="1"/>
  <c r="J34" i="3"/>
  <c r="K34" i="3" s="1"/>
  <c r="J35" i="3"/>
  <c r="K35" i="3" s="1"/>
  <c r="J36" i="3"/>
  <c r="K36" i="3" s="1"/>
  <c r="J37" i="3"/>
  <c r="K37" i="3" s="1"/>
  <c r="J38" i="3"/>
  <c r="K38" i="3" s="1"/>
  <c r="J39" i="3"/>
  <c r="K39" i="3" s="1"/>
  <c r="J40" i="3"/>
  <c r="K40" i="3" s="1"/>
  <c r="J41" i="3"/>
  <c r="K41" i="3" s="1"/>
  <c r="J42" i="3"/>
  <c r="K42" i="3" s="1"/>
  <c r="J43" i="3"/>
  <c r="K43" i="3" s="1"/>
  <c r="J44" i="3"/>
  <c r="K44" i="3" s="1"/>
  <c r="J45" i="3"/>
  <c r="K45" i="3" s="1"/>
  <c r="J46" i="3"/>
  <c r="K46" i="3" s="1"/>
  <c r="J47" i="3"/>
  <c r="K47" i="3" s="1"/>
  <c r="J48" i="3"/>
  <c r="K48" i="3" s="1"/>
  <c r="J49" i="3"/>
  <c r="K49" i="3" s="1"/>
  <c r="J50" i="3"/>
  <c r="K50" i="3" s="1"/>
  <c r="J51" i="3"/>
  <c r="K51" i="3" s="1"/>
  <c r="J52" i="3"/>
  <c r="K52" i="3" s="1"/>
  <c r="J53" i="3"/>
  <c r="K53" i="3" s="1"/>
  <c r="J54" i="3"/>
  <c r="K54" i="3" s="1"/>
  <c r="J55" i="3"/>
  <c r="K55" i="3" s="1"/>
  <c r="J56" i="3"/>
  <c r="K56" i="3" s="1"/>
  <c r="J57" i="3"/>
  <c r="K57" i="3" s="1"/>
  <c r="J58" i="3"/>
  <c r="K58" i="3" s="1"/>
  <c r="J59" i="3"/>
  <c r="K59" i="3" s="1"/>
  <c r="J60" i="3"/>
  <c r="K60" i="3" s="1"/>
  <c r="J61" i="3"/>
  <c r="K61" i="3" s="1"/>
  <c r="J62" i="3"/>
  <c r="K62" i="3" s="1"/>
  <c r="J63" i="3"/>
  <c r="K63" i="3" s="1"/>
  <c r="J64" i="3"/>
  <c r="K64" i="3" s="1"/>
</calcChain>
</file>

<file path=xl/sharedStrings.xml><?xml version="1.0" encoding="utf-8"?>
<sst xmlns="http://schemas.openxmlformats.org/spreadsheetml/2006/main" count="231" uniqueCount="52">
  <si>
    <t>Year</t>
  </si>
  <si>
    <t>Month</t>
  </si>
  <si>
    <t>Revenue</t>
  </si>
  <si>
    <t>Operating Expense</t>
  </si>
  <si>
    <t>Production Volume</t>
  </si>
  <si>
    <t>Defective Units</t>
  </si>
  <si>
    <t>Downtime (hrs)</t>
  </si>
  <si>
    <t>Available Prod Hours</t>
  </si>
  <si>
    <t>Return Units</t>
  </si>
  <si>
    <t>Jan</t>
  </si>
  <si>
    <t>Feb</t>
  </si>
  <si>
    <t>Mar</t>
  </si>
  <si>
    <t>Apr</t>
  </si>
  <si>
    <t>May</t>
  </si>
  <si>
    <t>Jun</t>
  </si>
  <si>
    <t>Jul</t>
  </si>
  <si>
    <t>Aug</t>
  </si>
  <si>
    <t>Sep</t>
  </si>
  <si>
    <t>Oct</t>
  </si>
  <si>
    <t>Nov</t>
  </si>
  <si>
    <t>Dec</t>
  </si>
  <si>
    <t>Gross Profit</t>
  </si>
  <si>
    <t>Profit Margin (%)</t>
  </si>
  <si>
    <t>Defect Rate (%)</t>
  </si>
  <si>
    <t>Return Rate (%)</t>
  </si>
  <si>
    <t>Downtime (%)</t>
  </si>
  <si>
    <t>Row Labels</t>
  </si>
  <si>
    <t>Grand Total</t>
  </si>
  <si>
    <t>Sum of Revenue</t>
  </si>
  <si>
    <t>Average of Profit Margin (%)</t>
  </si>
  <si>
    <t>Sum of Production Volume</t>
  </si>
  <si>
    <t>Sum of Downtime (hrs)</t>
  </si>
  <si>
    <t>Sum of Return Rate (%)</t>
  </si>
  <si>
    <t>Average of Defect Rate (%)</t>
  </si>
  <si>
    <t>On-Time Delivery (%)</t>
  </si>
  <si>
    <t>Sum of On-Time Delivery (%)</t>
  </si>
  <si>
    <t>Average of On-Time Delivery (%)</t>
  </si>
  <si>
    <t>Sum of Return Units</t>
  </si>
  <si>
    <t>Complaints</t>
  </si>
  <si>
    <t>Avg Delivery Lead Time (Days)</t>
  </si>
  <si>
    <t>Product Quality (%)</t>
  </si>
  <si>
    <t>Service Responsiveness (%)</t>
  </si>
  <si>
    <t>Customer Feedback Score (%)</t>
  </si>
  <si>
    <t>Average of Product Quality (%)</t>
  </si>
  <si>
    <t>Average of Service Responsiveness (%)</t>
  </si>
  <si>
    <t>Average of Customer Feedback Score (%)</t>
  </si>
  <si>
    <t>Column Labels</t>
  </si>
  <si>
    <t>Values</t>
  </si>
  <si>
    <t>Average of Return Rate (%)</t>
  </si>
  <si>
    <t>Operating Cost</t>
  </si>
  <si>
    <t>Sum of Operating Expense</t>
  </si>
  <si>
    <t>Sum of Gross Profit</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</si>
</sst>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43" formatCode="_(* #,##0.00_);_(* \(#,##0.00\);_(* &quot;-&quot;??_);_(@_)"/>
  </numFmts>
  <fonts count="5" x14ac:knownFonts="1">
    <font>
      <sz val="11"/>
      <color theme="1"/>
      <name val="Calibri"/>
      <family val="2"/>
      <scheme val="minor"/>
    </font>
    <font>
      <sz val="11"/>
      <color theme="1"/>
      <name val="Calibri"/>
      <family val="2"/>
      <scheme val="minor"/>
    </font>
    <font>
      <b/>
      <sz val="11"/>
      <color theme="1"/>
      <name val="Calibri"/>
      <family val="2"/>
      <scheme val="minor"/>
    </font>
    <font>
      <b/>
      <sz val="16"/>
      <color theme="1"/>
      <name val="Calibri"/>
      <family val="2"/>
      <scheme val="minor"/>
    </font>
    <font>
      <b/>
      <sz val="11"/>
      <color theme="1"/>
      <name val="Calibri"/>
      <scheme val="minor"/>
    </font>
  </fonts>
  <fills count="6">
    <fill>
      <patternFill patternType="none"/>
    </fill>
    <fill>
      <patternFill patternType="gray125"/>
    </fill>
    <fill>
      <patternFill patternType="solid">
        <fgColor rgb="FF810909"/>
        <bgColor indexed="64"/>
      </patternFill>
    </fill>
    <fill>
      <patternFill patternType="solid">
        <fgColor theme="0" tint="-4.9989318521683403E-2"/>
        <bgColor indexed="64"/>
      </patternFill>
    </fill>
    <fill>
      <patternFill patternType="solid">
        <fgColor rgb="FF640000"/>
        <bgColor indexed="64"/>
      </patternFill>
    </fill>
    <fill>
      <patternFill patternType="solid">
        <fgColor theme="0"/>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25">
    <xf numFmtId="0" fontId="0" fillId="0" borderId="0" xfId="0"/>
    <xf numFmtId="0" fontId="0" fillId="2" borderId="0" xfId="0" applyFill="1"/>
    <xf numFmtId="0" fontId="0" fillId="3" borderId="0" xfId="0" applyFill="1"/>
    <xf numFmtId="0" fontId="2" fillId="0" borderId="0" xfId="0" applyFont="1" applyAlignment="1">
      <alignment horizontal="left" vertical="center" wrapText="1"/>
    </xf>
    <xf numFmtId="0" fontId="0" fillId="0" borderId="0" xfId="0" applyAlignment="1">
      <alignment horizontal="right" vertical="center" wrapText="1"/>
    </xf>
    <xf numFmtId="43" fontId="0" fillId="0" borderId="0" xfId="0" applyNumberFormat="1" applyAlignment="1">
      <alignment horizontal="right" vertical="center" wrapText="1"/>
    </xf>
    <xf numFmtId="43" fontId="0" fillId="3" borderId="0" xfId="0" applyNumberFormat="1" applyFill="1" applyAlignment="1">
      <alignment horizontal="right" vertical="center" wrapText="1"/>
    </xf>
    <xf numFmtId="10" fontId="0" fillId="3" borderId="0" xfId="1" applyNumberFormat="1" applyFont="1" applyFill="1" applyAlignment="1">
      <alignment horizontal="right" vertical="center" wrapText="1"/>
    </xf>
    <xf numFmtId="10" fontId="0" fillId="0" borderId="0" xfId="1" applyNumberFormat="1" applyFont="1" applyAlignment="1">
      <alignment horizontal="right" vertical="center" wrapText="1"/>
    </xf>
    <xf numFmtId="0" fontId="4" fillId="0" borderId="0" xfId="0" applyFont="1" applyAlignment="1">
      <alignment horizontal="left" vertical="center" wrapText="1"/>
    </xf>
    <xf numFmtId="10" fontId="0" fillId="0" borderId="0" xfId="0" applyNumberFormat="1" applyAlignment="1">
      <alignment horizontal="right" vertical="center" wrapText="1"/>
    </xf>
    <xf numFmtId="0" fontId="0" fillId="4" borderId="0" xfId="0" applyFill="1"/>
    <xf numFmtId="0" fontId="0" fillId="3" borderId="0" xfId="0" applyNumberFormat="1" applyFill="1"/>
    <xf numFmtId="0" fontId="0" fillId="5" borderId="0" xfId="0" applyFill="1"/>
    <xf numFmtId="10" fontId="0" fillId="5" borderId="0" xfId="0" applyNumberFormat="1" applyFill="1"/>
    <xf numFmtId="0" fontId="0" fillId="5" borderId="0" xfId="0" applyFill="1" applyAlignment="1">
      <alignment horizontal="left"/>
    </xf>
    <xf numFmtId="0" fontId="0" fillId="5" borderId="0" xfId="0" applyNumberFormat="1" applyFill="1"/>
    <xf numFmtId="0" fontId="0" fillId="5" borderId="0" xfId="0" applyFill="1" applyAlignment="1">
      <alignment horizontal="left" indent="1"/>
    </xf>
    <xf numFmtId="0" fontId="3" fillId="4" borderId="0" xfId="0" applyFont="1" applyFill="1" applyAlignment="1">
      <alignment horizontal="center"/>
    </xf>
    <xf numFmtId="0" fontId="3" fillId="2" borderId="0" xfId="0" applyFont="1" applyFill="1" applyAlignment="1">
      <alignment horizontal="center"/>
    </xf>
    <xf numFmtId="0" fontId="0" fillId="0" borderId="0" xfId="0" pivotButton="1"/>
    <xf numFmtId="0" fontId="0" fillId="0" borderId="0" xfId="0" applyAlignment="1">
      <alignment horizontal="left"/>
    </xf>
    <xf numFmtId="0" fontId="0" fillId="0" borderId="0" xfId="0" applyNumberFormat="1"/>
    <xf numFmtId="10" fontId="0" fillId="0" borderId="0" xfId="0" applyNumberFormat="1"/>
    <xf numFmtId="0" fontId="3" fillId="4" borderId="0" xfId="0" applyFont="1" applyFill="1" applyAlignment="1"/>
  </cellXfs>
  <cellStyles count="2">
    <cellStyle name="Normal" xfId="0" builtinId="0"/>
    <cellStyle name="Percent" xfId="1" builtinId="5"/>
  </cellStyles>
  <dxfs count="818">
    <dxf>
      <numFmt numFmtId="14" formatCode="0.00%"/>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numFmt numFmtId="14" formatCode="0.00%"/>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numFmt numFmtId="14" formatCode="0.00%"/>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numFmt numFmtId="14" formatCode="0.00%"/>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numFmt numFmtId="14" formatCode="0.00%"/>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numFmt numFmtId="14" formatCode="0.00%"/>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numFmt numFmtId="14" formatCode="0.00%"/>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numFmt numFmtId="14" formatCode="0.00%"/>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numFmt numFmtId="14" formatCode="0.00%"/>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numFmt numFmtId="14" formatCode="0.00%"/>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numFmt numFmtId="14" formatCode="0.00%"/>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numFmt numFmtId="14" formatCode="0.00%"/>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numFmt numFmtId="14" formatCode="0.00%"/>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numFmt numFmtId="14" formatCode="0.00%"/>
    </dxf>
    <dxf>
      <numFmt numFmtId="14" formatCode="0.00%"/>
      <alignment horizontal="right" vertical="center" textRotation="0" wrapText="1" indent="0" justifyLastLine="0" shrinkToFit="0" readingOrder="0"/>
    </dxf>
    <dxf>
      <numFmt numFmtId="14" formatCode="0.00%"/>
      <alignment horizontal="right" vertical="center" textRotation="0" wrapText="1" indent="0" justifyLastLine="0" shrinkToFit="0" readingOrder="0"/>
    </dxf>
    <dxf>
      <numFmt numFmtId="14" formatCode="0.00%"/>
      <alignment horizontal="right" vertical="center" textRotation="0" wrapText="1" indent="0" justifyLastLine="0" shrinkToFit="0" readingOrder="0"/>
    </dxf>
    <dxf>
      <numFmt numFmtId="14" formatCode="0.00%"/>
      <alignment horizontal="right" vertical="center" textRotation="0" wrapText="1" indent="0" justifyLastLine="0" shrinkToFit="0" readingOrder="0"/>
    </dxf>
    <dxf>
      <numFmt numFmtId="14" formatCode="0.00%"/>
      <alignment horizontal="right" vertical="center" textRotation="0" wrapText="1" indent="0" justifyLastLine="0" shrinkToFit="0" readingOrder="0"/>
    </dxf>
    <dxf>
      <numFmt numFmtId="14" formatCode="0.00%"/>
      <alignment horizontal="right" vertical="center" textRotation="0" wrapText="1" indent="0" justifyLastLine="0" shrinkToFit="0" readingOrder="0"/>
    </dxf>
    <dxf>
      <numFmt numFmtId="14" formatCode="0.00%"/>
      <alignment horizontal="right" vertical="center" textRotation="0" wrapText="1" indent="0" justifyLastLine="0" shrinkToFit="0" readingOrder="0"/>
    </dxf>
    <dxf>
      <numFmt numFmtId="14" formatCode="0.00%"/>
      <alignment horizontal="right" vertical="center" textRotation="0" wrapText="1" indent="0" justifyLastLine="0" shrinkToFit="0" readingOrder="0"/>
    </dxf>
    <dxf>
      <numFmt numFmtId="14" formatCode="0.00%"/>
      <alignment horizontal="right" vertical="center" textRotation="0" wrapText="1" indent="0" justifyLastLine="0" shrinkToFit="0" readingOrder="0"/>
    </dxf>
    <dxf>
      <numFmt numFmtId="14" formatCode="0.00%"/>
      <alignment horizontal="right" vertical="center" textRotation="0" wrapText="1" indent="0" justifyLastLine="0" shrinkToFit="0" readingOrder="0"/>
    </dxf>
    <dxf>
      <numFmt numFmtId="35" formatCode="_(* #,##0.00_);_(* \(#,##0.00\);_(* &quot;-&quot;??_);_(@_)"/>
      <alignment horizontal="right" vertical="center" textRotation="0" wrapText="1" indent="0" justifyLastLine="0" shrinkToFit="0" readingOrder="0"/>
    </dxf>
    <dxf>
      <alignment horizontal="right" vertical="center" textRotation="0" wrapText="1" indent="0" justifyLastLine="0" shrinkToFit="0" readingOrder="0"/>
    </dxf>
    <dxf>
      <alignment horizontal="right" vertical="center" textRotation="0" wrapText="1" indent="0" justifyLastLine="0" shrinkToFit="0" readingOrder="0"/>
    </dxf>
    <dxf>
      <alignment horizontal="right" vertical="center" textRotation="0" wrapText="1" indent="0" justifyLastLine="0" shrinkToFit="0" readingOrder="0"/>
    </dxf>
    <dxf>
      <alignment horizontal="right" vertical="center" textRotation="0" wrapText="1" indent="0" justifyLastLine="0" shrinkToFit="0" readingOrder="0"/>
    </dxf>
    <dxf>
      <alignment horizontal="right" vertical="center" textRotation="0" wrapText="1" indent="0" justifyLastLine="0" shrinkToFit="0" readingOrder="0"/>
    </dxf>
    <dxf>
      <numFmt numFmtId="35" formatCode="_(* #,##0.00_);_(* \(#,##0.00\);_(* &quot;-&quot;??_);_(@_)"/>
      <alignment horizontal="right" vertical="center" textRotation="0" wrapText="1" indent="0" justifyLastLine="0" shrinkToFit="0" readingOrder="0"/>
    </dxf>
    <dxf>
      <numFmt numFmtId="35" formatCode="_(* #,##0.00_);_(* \(#,##0.00\);_(* &quot;-&quot;??_);_(@_)"/>
      <alignment horizontal="right" vertical="center" textRotation="0" wrapText="1" indent="0" justifyLastLine="0" shrinkToFit="0" readingOrder="0"/>
    </dxf>
    <dxf>
      <alignment horizontal="right" vertical="center" textRotation="0" wrapText="1" indent="0" justifyLastLine="0" shrinkToFit="0" readingOrder="0"/>
    </dxf>
    <dxf>
      <alignment horizontal="right" vertical="center" textRotation="0" wrapText="1" indent="0" justifyLastLine="0" shrinkToFit="0" readingOrder="0"/>
    </dxf>
    <dxf>
      <alignment horizontal="right" vertical="center" textRotation="0" wrapText="1" indent="0" justifyLastLine="0" shrinkToFit="0" readingOrder="0"/>
    </dxf>
    <dxf>
      <font>
        <b/>
        <i val="0"/>
        <strike val="0"/>
        <condense val="0"/>
        <extend val="0"/>
        <outline val="0"/>
        <shadow val="0"/>
        <u val="none"/>
        <vertAlign val="baseline"/>
        <sz val="11"/>
        <color theme="1"/>
        <name val="Calibri"/>
        <scheme val="minor"/>
      </font>
      <alignment horizontal="left" vertical="center" textRotation="0" wrapText="1" indent="0" justifyLastLine="0" shrinkToFit="0" readingOrder="0"/>
    </dxf>
    <dxf>
      <font>
        <b/>
        <color theme="1"/>
      </font>
      <border>
        <bottom style="thin">
          <color theme="5"/>
        </bottom>
        <vertical/>
        <horizontal/>
      </border>
    </dxf>
    <dxf>
      <font>
        <sz val="8"/>
        <color theme="1"/>
      </font>
      <border diagonalUp="0" diagonalDown="0">
        <left/>
        <right/>
        <top/>
        <bottom/>
        <vertical/>
        <horizontal/>
      </border>
    </dxf>
  </dxfs>
  <tableStyles count="1" defaultTableStyle="TableStyleMedium2" defaultPivotStyle="PivotStyleLight16">
    <tableStyle name="022023" pivot="0" table="0" count="10">
      <tableStyleElement type="wholeTable" dxfId="817"/>
      <tableStyleElement type="headerRow" dxfId="816"/>
    </tableStyle>
  </tableStyles>
  <colors>
    <mruColors>
      <color rgb="FF640000"/>
      <color rgb="FF960000"/>
      <color rgb="FFF04E4E"/>
      <color rgb="FFD01A1A"/>
      <color rgb="FFFFB3B3"/>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022023">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[Solano_Assessment_AllCard.xlsx]Pivot Tables!opexp_revn</c:name>
    <c:fmtId val="3"/>
  </c:pivotSource>
  <c:chart>
    <c:autoTitleDeleted val="0"/>
    <c:pivotFmts>
      <c:pivotFmt>
        <c:idx val="0"/>
        <c:spPr>
          <a:solidFill>
            <a:schemeClr val="accent1"/>
          </a:solidFill>
          <a:ln>
            <a:noFill/>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solidFill>
            <a:srgbClr val="960000"/>
          </a:solidFill>
          <a:ln w="95250">
            <a:solidFill>
              <a:srgbClr val="960000"/>
            </a:solidFill>
          </a:ln>
          <a:effectLst/>
        </c:spPr>
        <c:marker>
          <c:symbol val="none"/>
        </c:marker>
      </c:pivotFmt>
      <c:pivotFmt>
        <c:idx val="5"/>
        <c:spPr>
          <a:ln w="60325" cap="rnd">
            <a:solidFill>
              <a:srgbClr val="FFC000"/>
            </a:solidFill>
            <a:round/>
          </a:ln>
          <a:effectLst/>
        </c:spPr>
        <c:marker>
          <c:symbol val="none"/>
        </c:marker>
      </c:pivotFmt>
    </c:pivotFmts>
    <c:plotArea>
      <c:layout/>
      <c:barChart>
        <c:barDir val="col"/>
        <c:grouping val="clustered"/>
        <c:varyColors val="0"/>
        <c:ser>
          <c:idx val="0"/>
          <c:order val="0"/>
          <c:tx>
            <c:strRef>
              <c:f>'Pivot Tables'!$B$4</c:f>
              <c:strCache>
                <c:ptCount val="1"/>
                <c:pt idx="0">
                  <c:v>Sum of Revenue</c:v>
                </c:pt>
              </c:strCache>
            </c:strRef>
          </c:tx>
          <c:spPr>
            <a:solidFill>
              <a:srgbClr val="960000"/>
            </a:solidFill>
            <a:ln w="95250">
              <a:solidFill>
                <a:srgbClr val="960000"/>
              </a:solidFill>
            </a:ln>
            <a:effectLst/>
          </c:spPr>
          <c:invertIfNegative val="0"/>
          <c:cat>
            <c:multiLvlStrRef>
              <c:f>'Pivot Tables'!$A$5:$A$18</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2023</c:v>
                  </c:pt>
                </c:lvl>
              </c:multiLvlStrCache>
            </c:multiLvlStrRef>
          </c:cat>
          <c:val>
            <c:numRef>
              <c:f>'Pivot Tables'!$B$5:$B$18</c:f>
              <c:numCache>
                <c:formatCode>General</c:formatCode>
                <c:ptCount val="12"/>
                <c:pt idx="0">
                  <c:v>5340000</c:v>
                </c:pt>
                <c:pt idx="1">
                  <c:v>5280000</c:v>
                </c:pt>
                <c:pt idx="2">
                  <c:v>4980000</c:v>
                </c:pt>
                <c:pt idx="3">
                  <c:v>5130000</c:v>
                </c:pt>
                <c:pt idx="4">
                  <c:v>4980000</c:v>
                </c:pt>
                <c:pt idx="5">
                  <c:v>5370000</c:v>
                </c:pt>
                <c:pt idx="6">
                  <c:v>4990000</c:v>
                </c:pt>
                <c:pt idx="7">
                  <c:v>5450000</c:v>
                </c:pt>
                <c:pt idx="8">
                  <c:v>5480000</c:v>
                </c:pt>
                <c:pt idx="9">
                  <c:v>4810000</c:v>
                </c:pt>
                <c:pt idx="10">
                  <c:v>5430000</c:v>
                </c:pt>
                <c:pt idx="11">
                  <c:v>5060000</c:v>
                </c:pt>
              </c:numCache>
            </c:numRef>
          </c:val>
        </c:ser>
        <c:dLbls>
          <c:showLegendKey val="0"/>
          <c:showVal val="0"/>
          <c:showCatName val="0"/>
          <c:showSerName val="0"/>
          <c:showPercent val="0"/>
          <c:showBubbleSize val="0"/>
        </c:dLbls>
        <c:gapWidth val="219"/>
        <c:overlap val="-27"/>
        <c:axId val="806187248"/>
        <c:axId val="806188880"/>
      </c:barChart>
      <c:lineChart>
        <c:grouping val="standard"/>
        <c:varyColors val="0"/>
        <c:ser>
          <c:idx val="1"/>
          <c:order val="1"/>
          <c:tx>
            <c:strRef>
              <c:f>'Pivot Tables'!$C$4</c:f>
              <c:strCache>
                <c:ptCount val="1"/>
                <c:pt idx="0">
                  <c:v>Operating Cost</c:v>
                </c:pt>
              </c:strCache>
            </c:strRef>
          </c:tx>
          <c:spPr>
            <a:ln w="60325" cap="rnd">
              <a:solidFill>
                <a:srgbClr val="FFC000"/>
              </a:solidFill>
              <a:round/>
            </a:ln>
            <a:effectLst/>
          </c:spPr>
          <c:marker>
            <c:symbol val="none"/>
          </c:marker>
          <c:cat>
            <c:multiLvlStrRef>
              <c:f>'Pivot Tables'!$A$5:$A$18</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2023</c:v>
                  </c:pt>
                </c:lvl>
              </c:multiLvlStrCache>
            </c:multiLvlStrRef>
          </c:cat>
          <c:val>
            <c:numRef>
              <c:f>'Pivot Tables'!$C$5:$C$18</c:f>
              <c:numCache>
                <c:formatCode>General</c:formatCode>
                <c:ptCount val="12"/>
                <c:pt idx="0">
                  <c:v>3150000</c:v>
                </c:pt>
                <c:pt idx="1">
                  <c:v>2950000</c:v>
                </c:pt>
                <c:pt idx="2">
                  <c:v>3000000</c:v>
                </c:pt>
                <c:pt idx="3">
                  <c:v>3070000</c:v>
                </c:pt>
                <c:pt idx="4">
                  <c:v>3200000</c:v>
                </c:pt>
                <c:pt idx="5">
                  <c:v>2920000</c:v>
                </c:pt>
                <c:pt idx="6">
                  <c:v>3000000</c:v>
                </c:pt>
                <c:pt idx="7">
                  <c:v>3100000</c:v>
                </c:pt>
                <c:pt idx="8">
                  <c:v>3010000</c:v>
                </c:pt>
                <c:pt idx="9">
                  <c:v>3180000</c:v>
                </c:pt>
                <c:pt idx="10">
                  <c:v>3130000</c:v>
                </c:pt>
                <c:pt idx="11">
                  <c:v>3010000</c:v>
                </c:pt>
              </c:numCache>
            </c:numRef>
          </c:val>
          <c:smooth val="0"/>
        </c:ser>
        <c:dLbls>
          <c:showLegendKey val="0"/>
          <c:showVal val="0"/>
          <c:showCatName val="0"/>
          <c:showSerName val="0"/>
          <c:showPercent val="0"/>
          <c:showBubbleSize val="0"/>
        </c:dLbls>
        <c:marker val="1"/>
        <c:smooth val="0"/>
        <c:axId val="806189968"/>
        <c:axId val="806200304"/>
      </c:lineChart>
      <c:catAx>
        <c:axId val="806187248"/>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6188880"/>
        <c:crosses val="autoZero"/>
        <c:auto val="1"/>
        <c:lblAlgn val="ctr"/>
        <c:lblOffset val="100"/>
        <c:noMultiLvlLbl val="0"/>
      </c:catAx>
      <c:valAx>
        <c:axId val="8061888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6187248"/>
        <c:crosses val="autoZero"/>
        <c:crossBetween val="between"/>
        <c:dispUnits>
          <c:builtInUnit val="millions"/>
        </c:dispUnits>
      </c:valAx>
      <c:valAx>
        <c:axId val="806200304"/>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6189968"/>
        <c:crosses val="max"/>
        <c:crossBetween val="between"/>
        <c:dispUnits>
          <c:builtInUnit val="millions"/>
        </c:dispUnits>
      </c:valAx>
      <c:catAx>
        <c:axId val="806189968"/>
        <c:scaling>
          <c:orientation val="minMax"/>
        </c:scaling>
        <c:delete val="1"/>
        <c:axPos val="b"/>
        <c:numFmt formatCode="General" sourceLinked="1"/>
        <c:majorTickMark val="out"/>
        <c:minorTickMark val="none"/>
        <c:tickLblPos val="nextTo"/>
        <c:crossAx val="806200304"/>
        <c:crosses val="autoZero"/>
        <c:auto val="1"/>
        <c:lblAlgn val="ctr"/>
        <c:lblOffset val="100"/>
        <c:noMultiLvlLbl val="0"/>
      </c:catAx>
      <c:spPr>
        <a:noFill/>
        <a:ln>
          <a:noFill/>
        </a:ln>
        <a:effectLst/>
      </c:spPr>
    </c:plotArea>
    <c:legend>
      <c:legendPos val="b"/>
      <c:layout/>
      <c:overlay val="0"/>
      <c:spPr>
        <a:noFill/>
        <a:ln>
          <a:solidFill>
            <a:schemeClr val="bg1"/>
          </a:solid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[Solano_Assessment_AllCard.xlsx]Pivot Tables!Avg_Profit_Margin</c:name>
    <c:fmtId val="2"/>
  </c:pivotSource>
  <c:chart>
    <c:autoTitleDeleted val="1"/>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60325" cap="rnd">
            <a:solidFill>
              <a:srgbClr val="FFC000"/>
            </a:solidFill>
            <a:round/>
          </a:ln>
          <a:effectLst/>
        </c:spPr>
        <c:marker>
          <c:symbol val="none"/>
        </c:marker>
      </c:pivotFmt>
      <c:pivotFmt>
        <c:idx val="3"/>
        <c:spPr>
          <a:ln w="60325" cap="rnd">
            <a:solidFill>
              <a:srgbClr val="FFC000"/>
            </a:solidFill>
            <a:round/>
          </a:ln>
          <a:effectLst/>
        </c:spPr>
        <c:marker>
          <c:symbol val="none"/>
        </c:marker>
      </c:pivotFmt>
    </c:pivotFmts>
    <c:plotArea>
      <c:layout/>
      <c:lineChart>
        <c:grouping val="stacked"/>
        <c:varyColors val="0"/>
        <c:ser>
          <c:idx val="0"/>
          <c:order val="0"/>
          <c:tx>
            <c:strRef>
              <c:f>'Pivot Tables'!$F$4</c:f>
              <c:strCache>
                <c:ptCount val="1"/>
                <c:pt idx="0">
                  <c:v>Total</c:v>
                </c:pt>
              </c:strCache>
            </c:strRef>
          </c:tx>
          <c:spPr>
            <a:ln w="60325" cap="rnd">
              <a:solidFill>
                <a:srgbClr val="FFC000"/>
              </a:solidFill>
              <a:round/>
            </a:ln>
            <a:effectLst/>
          </c:spPr>
          <c:marker>
            <c:symbol val="none"/>
          </c:marker>
          <c:cat>
            <c:multiLvlStrRef>
              <c:f>'Pivot Tables'!$E$5:$E$18</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2023</c:v>
                  </c:pt>
                </c:lvl>
              </c:multiLvlStrCache>
            </c:multiLvlStrRef>
          </c:cat>
          <c:val>
            <c:numRef>
              <c:f>'Pivot Tables'!$F$5:$F$18</c:f>
              <c:numCache>
                <c:formatCode>General</c:formatCode>
                <c:ptCount val="12"/>
                <c:pt idx="0">
                  <c:v>0.4101123595505618</c:v>
                </c:pt>
                <c:pt idx="1">
                  <c:v>0.44128787878787878</c:v>
                </c:pt>
                <c:pt idx="2">
                  <c:v>0.39759036144578314</c:v>
                </c:pt>
                <c:pt idx="3">
                  <c:v>0.40155945419103312</c:v>
                </c:pt>
                <c:pt idx="4">
                  <c:v>0.35742971887550201</c:v>
                </c:pt>
                <c:pt idx="5">
                  <c:v>0.45623836126629425</c:v>
                </c:pt>
                <c:pt idx="6">
                  <c:v>0.39879759519038077</c:v>
                </c:pt>
                <c:pt idx="7">
                  <c:v>0.43119266055045874</c:v>
                </c:pt>
                <c:pt idx="8">
                  <c:v>0.45072992700729925</c:v>
                </c:pt>
                <c:pt idx="9">
                  <c:v>0.3388773388773389</c:v>
                </c:pt>
                <c:pt idx="10">
                  <c:v>0.42357274401473294</c:v>
                </c:pt>
                <c:pt idx="11">
                  <c:v>0.40513833992094861</c:v>
                </c:pt>
              </c:numCache>
            </c:numRef>
          </c:val>
          <c:smooth val="0"/>
        </c:ser>
        <c:dLbls>
          <c:showLegendKey val="0"/>
          <c:showVal val="0"/>
          <c:showCatName val="0"/>
          <c:showSerName val="0"/>
          <c:showPercent val="0"/>
          <c:showBubbleSize val="0"/>
        </c:dLbls>
        <c:smooth val="0"/>
        <c:axId val="806193232"/>
        <c:axId val="806198672"/>
      </c:lineChart>
      <c:catAx>
        <c:axId val="806193232"/>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6198672"/>
        <c:crosses val="autoZero"/>
        <c:auto val="1"/>
        <c:lblAlgn val="ctr"/>
        <c:lblOffset val="100"/>
        <c:noMultiLvlLbl val="0"/>
      </c:catAx>
      <c:valAx>
        <c:axId val="806198672"/>
        <c:scaling>
          <c:orientation val="minMax"/>
          <c:min val="0.32000000000000006"/>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6193232"/>
        <c:crosses val="autoZero"/>
        <c:crossBetween val="between"/>
      </c:valAx>
      <c:spPr>
        <a:noFill/>
        <a:ln>
          <a:noFill/>
        </a:ln>
        <a:effectLst/>
      </c:spPr>
    </c:plotArea>
    <c:plotVisOnly val="1"/>
    <c:dispBlanksAs val="zero"/>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[Solano_Assessment_AllCard.xlsx]Pivot Tables!sum_prod_vol</c:name>
    <c:fmtId val="2"/>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rgbClr val="FFC000"/>
          </a:solidFill>
          <a:ln w="92075">
            <a:solidFill>
              <a:srgbClr val="FFC000"/>
            </a:solidFill>
          </a:ln>
          <a:effectLst/>
        </c:spPr>
        <c:marker>
          <c:symbol val="none"/>
        </c:marker>
      </c:pivotFmt>
    </c:pivotFmts>
    <c:plotArea>
      <c:layout/>
      <c:barChart>
        <c:barDir val="col"/>
        <c:grouping val="stacked"/>
        <c:varyColors val="0"/>
        <c:ser>
          <c:idx val="0"/>
          <c:order val="0"/>
          <c:tx>
            <c:strRef>
              <c:f>'Pivot Tables'!$I$4</c:f>
              <c:strCache>
                <c:ptCount val="1"/>
                <c:pt idx="0">
                  <c:v>Total</c:v>
                </c:pt>
              </c:strCache>
            </c:strRef>
          </c:tx>
          <c:spPr>
            <a:solidFill>
              <a:srgbClr val="FFC000"/>
            </a:solidFill>
            <a:ln w="92075">
              <a:solidFill>
                <a:srgbClr val="FFC000"/>
              </a:solidFill>
            </a:ln>
            <a:effectLst/>
          </c:spPr>
          <c:invertIfNegative val="0"/>
          <c:cat>
            <c:multiLvlStrRef>
              <c:f>'Pivot Tables'!$H$5:$H$18</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2023</c:v>
                  </c:pt>
                </c:lvl>
              </c:multiLvlStrCache>
            </c:multiLvlStrRef>
          </c:cat>
          <c:val>
            <c:numRef>
              <c:f>'Pivot Tables'!$I$5:$I$18</c:f>
              <c:numCache>
                <c:formatCode>General</c:formatCode>
                <c:ptCount val="12"/>
                <c:pt idx="0">
                  <c:v>9820</c:v>
                </c:pt>
                <c:pt idx="1">
                  <c:v>10430</c:v>
                </c:pt>
                <c:pt idx="2">
                  <c:v>10480</c:v>
                </c:pt>
                <c:pt idx="3">
                  <c:v>10940</c:v>
                </c:pt>
                <c:pt idx="4">
                  <c:v>9520</c:v>
                </c:pt>
                <c:pt idx="5">
                  <c:v>10830</c:v>
                </c:pt>
                <c:pt idx="6">
                  <c:v>9500</c:v>
                </c:pt>
                <c:pt idx="7">
                  <c:v>10720</c:v>
                </c:pt>
                <c:pt idx="8">
                  <c:v>9200</c:v>
                </c:pt>
                <c:pt idx="9">
                  <c:v>10100</c:v>
                </c:pt>
                <c:pt idx="10">
                  <c:v>10570</c:v>
                </c:pt>
                <c:pt idx="11">
                  <c:v>9610</c:v>
                </c:pt>
              </c:numCache>
            </c:numRef>
          </c:val>
        </c:ser>
        <c:dLbls>
          <c:showLegendKey val="0"/>
          <c:showVal val="0"/>
          <c:showCatName val="0"/>
          <c:showSerName val="0"/>
          <c:showPercent val="0"/>
          <c:showBubbleSize val="0"/>
        </c:dLbls>
        <c:gapWidth val="150"/>
        <c:overlap val="100"/>
        <c:axId val="806191600"/>
        <c:axId val="806191056"/>
      </c:barChart>
      <c:catAx>
        <c:axId val="806191600"/>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6191056"/>
        <c:crosses val="autoZero"/>
        <c:auto val="1"/>
        <c:lblAlgn val="ctr"/>
        <c:lblOffset val="100"/>
        <c:noMultiLvlLbl val="0"/>
      </c:catAx>
      <c:valAx>
        <c:axId val="8061910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6191600"/>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[Solano_Assessment_AllCard.xlsx]Pivot Tables!sum_dwntm</c:name>
    <c:fmtId val="6"/>
  </c:pivotSource>
  <c:chart>
    <c:autoTitleDeleted val="1"/>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ln w="60325" cap="rnd">
            <a:solidFill>
              <a:srgbClr val="FFC000"/>
            </a:solidFill>
            <a:round/>
          </a:ln>
          <a:effectLst/>
        </c:spPr>
        <c:marker>
          <c:symbol val="none"/>
        </c:marker>
      </c:pivotFmt>
    </c:pivotFmts>
    <c:plotArea>
      <c:layout>
        <c:manualLayout>
          <c:layoutTarget val="inner"/>
          <c:xMode val="edge"/>
          <c:yMode val="edge"/>
          <c:x val="7.6306233634322262E-2"/>
          <c:y val="0.17269836089537982"/>
          <c:w val="0.8886750387411908"/>
          <c:h val="0.45064073471594007"/>
        </c:manualLayout>
      </c:layout>
      <c:lineChart>
        <c:grouping val="stacked"/>
        <c:varyColors val="0"/>
        <c:ser>
          <c:idx val="0"/>
          <c:order val="0"/>
          <c:tx>
            <c:strRef>
              <c:f>'Pivot Tables'!$L$4</c:f>
              <c:strCache>
                <c:ptCount val="1"/>
                <c:pt idx="0">
                  <c:v>Total</c:v>
                </c:pt>
              </c:strCache>
            </c:strRef>
          </c:tx>
          <c:spPr>
            <a:ln w="60325" cap="rnd">
              <a:solidFill>
                <a:srgbClr val="FFC000"/>
              </a:solidFill>
              <a:round/>
            </a:ln>
            <a:effectLst/>
          </c:spPr>
          <c:marker>
            <c:symbol val="none"/>
          </c:marker>
          <c:cat>
            <c:multiLvlStrRef>
              <c:f>'Pivot Tables'!$K$5:$K$18</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2023</c:v>
                  </c:pt>
                </c:lvl>
              </c:multiLvlStrCache>
            </c:multiLvlStrRef>
          </c:cat>
          <c:val>
            <c:numRef>
              <c:f>'Pivot Tables'!$L$5:$L$18</c:f>
              <c:numCache>
                <c:formatCode>General</c:formatCode>
                <c:ptCount val="12"/>
                <c:pt idx="0">
                  <c:v>5</c:v>
                </c:pt>
                <c:pt idx="1">
                  <c:v>8</c:v>
                </c:pt>
                <c:pt idx="2">
                  <c:v>7</c:v>
                </c:pt>
                <c:pt idx="3">
                  <c:v>8</c:v>
                </c:pt>
                <c:pt idx="4">
                  <c:v>9</c:v>
                </c:pt>
                <c:pt idx="5">
                  <c:v>5</c:v>
                </c:pt>
                <c:pt idx="6">
                  <c:v>10</c:v>
                </c:pt>
                <c:pt idx="7">
                  <c:v>6</c:v>
                </c:pt>
                <c:pt idx="8">
                  <c:v>7</c:v>
                </c:pt>
                <c:pt idx="9">
                  <c:v>6</c:v>
                </c:pt>
                <c:pt idx="10">
                  <c:v>10</c:v>
                </c:pt>
                <c:pt idx="11">
                  <c:v>7</c:v>
                </c:pt>
              </c:numCache>
            </c:numRef>
          </c:val>
          <c:smooth val="0"/>
        </c:ser>
        <c:dLbls>
          <c:showLegendKey val="0"/>
          <c:showVal val="0"/>
          <c:showCatName val="0"/>
          <c:showSerName val="0"/>
          <c:showPercent val="0"/>
          <c:showBubbleSize val="0"/>
        </c:dLbls>
        <c:smooth val="0"/>
        <c:axId val="806192144"/>
        <c:axId val="806192688"/>
      </c:lineChart>
      <c:catAx>
        <c:axId val="806192144"/>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6192688"/>
        <c:crosses val="autoZero"/>
        <c:auto val="1"/>
        <c:lblAlgn val="ctr"/>
        <c:lblOffset val="100"/>
        <c:noMultiLvlLbl val="0"/>
      </c:catAx>
      <c:valAx>
        <c:axId val="8061926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6192144"/>
        <c:crosses val="autoZero"/>
        <c:crossBetween val="between"/>
      </c:valAx>
      <c:spPr>
        <a:noFill/>
        <a:ln>
          <a:solidFill>
            <a:schemeClr val="bg1"/>
          </a:solidFill>
        </a:ln>
        <a:effectLst/>
      </c:spPr>
    </c:plotArea>
    <c:plotVisOnly val="1"/>
    <c:dispBlanksAs val="zero"/>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[Solano_Assessment_AllCard.xlsx]Pivot Tables!avg_customer_satisfaction</c:name>
    <c:fmtId val="4"/>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5"/>
            </a:solidFill>
            <a:ln w="9525">
              <a:solidFill>
                <a:schemeClr val="accent5"/>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5"/>
            </a:solidFill>
            <a:ln w="9525">
              <a:solidFill>
                <a:schemeClr val="accent5"/>
              </a:solidFill>
            </a:ln>
            <a:effectLst/>
          </c:spPr>
        </c:marker>
      </c:pivotFmt>
      <c:pivotFmt>
        <c:idx val="9"/>
        <c:spPr>
          <a:ln w="28575" cap="rnd">
            <a:solidFill>
              <a:srgbClr val="FFB3B3"/>
            </a:solidFill>
            <a:round/>
          </a:ln>
          <a:effectLst/>
        </c:spPr>
        <c:marker>
          <c:symbol val="none"/>
        </c:marker>
      </c:pivotFmt>
      <c:pivotFmt>
        <c:idx val="10"/>
        <c:spPr>
          <a:ln w="28575" cap="rnd">
            <a:solidFill>
              <a:srgbClr val="F04E4E"/>
            </a:solidFill>
            <a:round/>
          </a:ln>
          <a:effectLst/>
        </c:spPr>
        <c:marker>
          <c:symbol val="none"/>
        </c:marker>
      </c:pivotFmt>
      <c:pivotFmt>
        <c:idx val="11"/>
        <c:spPr>
          <a:ln w="28575" cap="rnd">
            <a:solidFill>
              <a:srgbClr val="D01A1A"/>
            </a:solidFill>
            <a:round/>
          </a:ln>
          <a:effectLst/>
        </c:spPr>
        <c:marker>
          <c:symbol val="none"/>
        </c:marker>
      </c:pivotFmt>
      <c:pivotFmt>
        <c:idx val="12"/>
        <c:spPr>
          <a:ln w="28575" cap="rnd">
            <a:solidFill>
              <a:srgbClr val="960000"/>
            </a:solidFill>
            <a:round/>
          </a:ln>
          <a:effectLst/>
        </c:spPr>
        <c:marker>
          <c:symbol val="none"/>
        </c:marker>
      </c:pivotFmt>
      <c:pivotFmt>
        <c:idx val="13"/>
        <c:spPr>
          <a:ln w="28575" cap="rnd">
            <a:solidFill>
              <a:srgbClr val="640000"/>
            </a:solidFill>
            <a:round/>
          </a:ln>
          <a:effectLst/>
        </c:spPr>
        <c:marker>
          <c:symbol val="none"/>
        </c:marker>
      </c:pivotFmt>
    </c:pivotFmts>
    <c:plotArea>
      <c:layout/>
      <c:radarChart>
        <c:radarStyle val="marker"/>
        <c:varyColors val="0"/>
        <c:ser>
          <c:idx val="0"/>
          <c:order val="0"/>
          <c:tx>
            <c:strRef>
              <c:f>'Pivot Tables'!$U$4:$U$5</c:f>
              <c:strCache>
                <c:ptCount val="1"/>
                <c:pt idx="0">
                  <c:v>2023</c:v>
                </c:pt>
              </c:strCache>
            </c:strRef>
          </c:tx>
          <c:spPr>
            <a:ln w="28575" cap="rnd">
              <a:solidFill>
                <a:srgbClr val="960000"/>
              </a:solidFill>
              <a:round/>
            </a:ln>
            <a:effectLst/>
          </c:spPr>
          <c:marker>
            <c:symbol val="none"/>
          </c:marker>
          <c:cat>
            <c:strRef>
              <c:f>'Pivot Tables'!$T$6:$T$9</c:f>
              <c:strCache>
                <c:ptCount val="4"/>
                <c:pt idx="0">
                  <c:v>Average of On-Time Delivery (%)</c:v>
                </c:pt>
                <c:pt idx="1">
                  <c:v>Average of Product Quality (%)</c:v>
                </c:pt>
                <c:pt idx="2">
                  <c:v>Average of Service Responsiveness (%)</c:v>
                </c:pt>
                <c:pt idx="3">
                  <c:v>Average of Customer Feedback Score (%)</c:v>
                </c:pt>
              </c:strCache>
            </c:strRef>
          </c:cat>
          <c:val>
            <c:numRef>
              <c:f>'Pivot Tables'!$U$6:$U$9</c:f>
              <c:numCache>
                <c:formatCode>General</c:formatCode>
                <c:ptCount val="4"/>
                <c:pt idx="0">
                  <c:v>0.96816666666666673</c:v>
                </c:pt>
                <c:pt idx="1">
                  <c:v>0.89686363636363664</c:v>
                </c:pt>
                <c:pt idx="2">
                  <c:v>0.846476107226107</c:v>
                </c:pt>
                <c:pt idx="3">
                  <c:v>0.86656177156177161</c:v>
                </c:pt>
              </c:numCache>
            </c:numRef>
          </c:val>
        </c:ser>
        <c:dLbls>
          <c:showLegendKey val="0"/>
          <c:showVal val="0"/>
          <c:showCatName val="0"/>
          <c:showSerName val="0"/>
          <c:showPercent val="0"/>
          <c:showBubbleSize val="0"/>
        </c:dLbls>
        <c:axId val="806195408"/>
        <c:axId val="806196496"/>
      </c:radarChart>
      <c:catAx>
        <c:axId val="80619540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6196496"/>
        <c:crosses val="autoZero"/>
        <c:auto val="1"/>
        <c:lblAlgn val="ctr"/>
        <c:lblOffset val="100"/>
        <c:noMultiLvlLbl val="0"/>
      </c:catAx>
      <c:valAx>
        <c:axId val="806196496"/>
        <c:scaling>
          <c:orientation val="minMax"/>
        </c:scaling>
        <c:delete val="1"/>
        <c:axPos val="l"/>
        <c:majorGridlines>
          <c:spPr>
            <a:ln w="0" cap="flat" cmpd="sng" algn="ctr">
              <a:solidFill>
                <a:schemeClr val="tx2">
                  <a:lumMod val="50000"/>
                  <a:alpha val="45000"/>
                </a:schemeClr>
              </a:solidFill>
              <a:round/>
            </a:ln>
            <a:effectLst/>
          </c:spPr>
        </c:majorGridlines>
        <c:numFmt formatCode="General" sourceLinked="1"/>
        <c:majorTickMark val="none"/>
        <c:minorTickMark val="none"/>
        <c:tickLblPos val="nextTo"/>
        <c:crossAx val="806195408"/>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[Solano_Assessment_AllCard.xlsx]Pivot Tables!ontime_vs_return_rate</c:name>
    <c:fmtId val="3"/>
  </c:pivotSource>
  <c:chart>
    <c:autoTitleDeleted val="0"/>
    <c:pivotFmts>
      <c:pivotFmt>
        <c:idx val="0"/>
        <c:spPr>
          <a:solidFill>
            <a:schemeClr val="accent1"/>
          </a:solidFill>
          <a:ln>
            <a:noFill/>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solidFill>
            <a:srgbClr val="960000"/>
          </a:solidFill>
          <a:ln w="76200">
            <a:solidFill>
              <a:srgbClr val="960000"/>
            </a:solidFill>
          </a:ln>
          <a:effectLst/>
        </c:spPr>
        <c:marker>
          <c:symbol val="none"/>
        </c:marker>
      </c:pivotFmt>
      <c:pivotFmt>
        <c:idx val="5"/>
        <c:spPr>
          <a:ln w="60325" cap="rnd">
            <a:solidFill>
              <a:srgbClr val="FFC000"/>
            </a:solidFill>
            <a:round/>
          </a:ln>
          <a:effectLst/>
        </c:spPr>
        <c:marker>
          <c:symbol val="none"/>
        </c:marker>
      </c:pivotFmt>
    </c:pivotFmts>
    <c:plotArea>
      <c:layout/>
      <c:barChart>
        <c:barDir val="col"/>
        <c:grouping val="clustered"/>
        <c:varyColors val="0"/>
        <c:ser>
          <c:idx val="0"/>
          <c:order val="0"/>
          <c:tx>
            <c:strRef>
              <c:f>'Pivot Tables'!$B$48</c:f>
              <c:strCache>
                <c:ptCount val="1"/>
                <c:pt idx="0">
                  <c:v>Average of On-Time Delivery (%)</c:v>
                </c:pt>
              </c:strCache>
            </c:strRef>
          </c:tx>
          <c:spPr>
            <a:solidFill>
              <a:srgbClr val="960000"/>
            </a:solidFill>
            <a:ln w="76200">
              <a:solidFill>
                <a:srgbClr val="960000"/>
              </a:solidFill>
            </a:ln>
            <a:effectLst/>
          </c:spPr>
          <c:invertIfNegative val="0"/>
          <c:cat>
            <c:multiLvlStrRef>
              <c:f>'Pivot Tables'!$A$49:$A$62</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2023</c:v>
                  </c:pt>
                </c:lvl>
              </c:multiLvlStrCache>
            </c:multiLvlStrRef>
          </c:cat>
          <c:val>
            <c:numRef>
              <c:f>'Pivot Tables'!$B$49:$B$62</c:f>
              <c:numCache>
                <c:formatCode>General</c:formatCode>
                <c:ptCount val="12"/>
                <c:pt idx="0">
                  <c:v>0.96799999999999997</c:v>
                </c:pt>
                <c:pt idx="1">
                  <c:v>0.97</c:v>
                </c:pt>
                <c:pt idx="2">
                  <c:v>0.97099999999999997</c:v>
                </c:pt>
                <c:pt idx="3">
                  <c:v>0.96699999999999997</c:v>
                </c:pt>
                <c:pt idx="4">
                  <c:v>0.96499999999999997</c:v>
                </c:pt>
                <c:pt idx="5">
                  <c:v>0.97199999999999998</c:v>
                </c:pt>
                <c:pt idx="6">
                  <c:v>0.96399999999999997</c:v>
                </c:pt>
                <c:pt idx="7">
                  <c:v>0.96899999999999997</c:v>
                </c:pt>
                <c:pt idx="8">
                  <c:v>0.97099999999999997</c:v>
                </c:pt>
                <c:pt idx="9">
                  <c:v>0.96499999999999997</c:v>
                </c:pt>
                <c:pt idx="10">
                  <c:v>0.97</c:v>
                </c:pt>
                <c:pt idx="11">
                  <c:v>0.96599999999999997</c:v>
                </c:pt>
              </c:numCache>
            </c:numRef>
          </c:val>
        </c:ser>
        <c:dLbls>
          <c:showLegendKey val="0"/>
          <c:showVal val="0"/>
          <c:showCatName val="0"/>
          <c:showSerName val="0"/>
          <c:showPercent val="0"/>
          <c:showBubbleSize val="0"/>
        </c:dLbls>
        <c:gapWidth val="219"/>
        <c:overlap val="-27"/>
        <c:axId val="806197040"/>
        <c:axId val="806199760"/>
      </c:barChart>
      <c:lineChart>
        <c:grouping val="standard"/>
        <c:varyColors val="0"/>
        <c:ser>
          <c:idx val="1"/>
          <c:order val="1"/>
          <c:tx>
            <c:strRef>
              <c:f>'Pivot Tables'!$C$48</c:f>
              <c:strCache>
                <c:ptCount val="1"/>
                <c:pt idx="0">
                  <c:v>Average of Return Rate (%)</c:v>
                </c:pt>
              </c:strCache>
            </c:strRef>
          </c:tx>
          <c:spPr>
            <a:ln w="60325" cap="rnd">
              <a:solidFill>
                <a:srgbClr val="FFC000"/>
              </a:solidFill>
              <a:round/>
            </a:ln>
            <a:effectLst/>
          </c:spPr>
          <c:marker>
            <c:symbol val="none"/>
          </c:marker>
          <c:cat>
            <c:multiLvlStrRef>
              <c:f>'Pivot Tables'!$A$49:$A$62</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2023</c:v>
                  </c:pt>
                </c:lvl>
              </c:multiLvlStrCache>
            </c:multiLvlStrRef>
          </c:cat>
          <c:val>
            <c:numRef>
              <c:f>'Pivot Tables'!$C$49:$C$62</c:f>
              <c:numCache>
                <c:formatCode>General</c:formatCode>
                <c:ptCount val="12"/>
                <c:pt idx="0">
                  <c:v>1.2219959266802444E-2</c:v>
                </c:pt>
                <c:pt idx="1">
                  <c:v>1.1025886864813039E-2</c:v>
                </c:pt>
                <c:pt idx="2">
                  <c:v>1.049618320610687E-2</c:v>
                </c:pt>
                <c:pt idx="3">
                  <c:v>1.0786106032906764E-2</c:v>
                </c:pt>
                <c:pt idx="4">
                  <c:v>1.1764705882352941E-2</c:v>
                </c:pt>
                <c:pt idx="5">
                  <c:v>1.1542012927054479E-2</c:v>
                </c:pt>
                <c:pt idx="6">
                  <c:v>1.1578947368421053E-2</c:v>
                </c:pt>
                <c:pt idx="7">
                  <c:v>1.0447761194029851E-2</c:v>
                </c:pt>
                <c:pt idx="8">
                  <c:v>1.1847826086956522E-2</c:v>
                </c:pt>
                <c:pt idx="9">
                  <c:v>1.0594059405940595E-2</c:v>
                </c:pt>
                <c:pt idx="10">
                  <c:v>1.0501419110690633E-2</c:v>
                </c:pt>
                <c:pt idx="11">
                  <c:v>1.1446409989594173E-2</c:v>
                </c:pt>
              </c:numCache>
            </c:numRef>
          </c:val>
          <c:smooth val="0"/>
        </c:ser>
        <c:dLbls>
          <c:showLegendKey val="0"/>
          <c:showVal val="0"/>
          <c:showCatName val="0"/>
          <c:showSerName val="0"/>
          <c:showPercent val="0"/>
          <c:showBubbleSize val="0"/>
        </c:dLbls>
        <c:marker val="1"/>
        <c:smooth val="0"/>
        <c:axId val="855653584"/>
        <c:axId val="760662352"/>
      </c:lineChart>
      <c:catAx>
        <c:axId val="806197040"/>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6199760"/>
        <c:crosses val="autoZero"/>
        <c:auto val="1"/>
        <c:lblAlgn val="ctr"/>
        <c:lblOffset val="100"/>
        <c:noMultiLvlLbl val="0"/>
      </c:catAx>
      <c:valAx>
        <c:axId val="80619976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6197040"/>
        <c:crosses val="autoZero"/>
        <c:crossBetween val="between"/>
      </c:valAx>
      <c:valAx>
        <c:axId val="760662352"/>
        <c:scaling>
          <c:orientation val="minMax"/>
        </c:scaling>
        <c:delete val="0"/>
        <c:axPos val="r"/>
        <c:numFmt formatCode="0.0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5653584"/>
        <c:crosses val="max"/>
        <c:crossBetween val="between"/>
      </c:valAx>
      <c:catAx>
        <c:axId val="855653584"/>
        <c:scaling>
          <c:orientation val="minMax"/>
        </c:scaling>
        <c:delete val="1"/>
        <c:axPos val="b"/>
        <c:numFmt formatCode="General" sourceLinked="1"/>
        <c:majorTickMark val="out"/>
        <c:minorTickMark val="none"/>
        <c:tickLblPos val="nextTo"/>
        <c:crossAx val="760662352"/>
        <c:crosses val="autoZero"/>
        <c:auto val="1"/>
        <c:lblAlgn val="ctr"/>
        <c:lblOffset val="100"/>
        <c:noMultiLvlLbl val="0"/>
      </c:cat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[Solano_Assessment_AllCard.xlsx]Pivot Tables 2!revenue_sum</c:name>
    <c:fmtId val="2"/>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rgbClr val="960000"/>
          </a:solidFill>
          <a:ln w="95250">
            <a:solidFill>
              <a:srgbClr val="960000"/>
            </a:solidFill>
          </a:ln>
          <a:effectLst/>
        </c:spPr>
        <c:marker>
          <c:symbol val="none"/>
        </c:marker>
      </c:pivotFmt>
    </c:pivotFmts>
    <c:plotArea>
      <c:layout/>
      <c:barChart>
        <c:barDir val="col"/>
        <c:grouping val="clustered"/>
        <c:varyColors val="0"/>
        <c:ser>
          <c:idx val="0"/>
          <c:order val="0"/>
          <c:tx>
            <c:strRef>
              <c:f>'Pivot Tables 2'!$D$4</c:f>
              <c:strCache>
                <c:ptCount val="1"/>
                <c:pt idx="0">
                  <c:v>Total</c:v>
                </c:pt>
              </c:strCache>
            </c:strRef>
          </c:tx>
          <c:spPr>
            <a:solidFill>
              <a:srgbClr val="960000"/>
            </a:solidFill>
            <a:ln w="95250">
              <a:solidFill>
                <a:srgbClr val="960000"/>
              </a:solidFill>
            </a:ln>
            <a:effectLst/>
          </c:spPr>
          <c:invertIfNegative val="0"/>
          <c:cat>
            <c:strRef>
              <c:f>'Pivot Tables 2'!$C$5:$C$10</c:f>
              <c:strCache>
                <c:ptCount val="5"/>
                <c:pt idx="0">
                  <c:v>2020</c:v>
                </c:pt>
                <c:pt idx="1">
                  <c:v>2021</c:v>
                </c:pt>
                <c:pt idx="2">
                  <c:v>2022</c:v>
                </c:pt>
                <c:pt idx="3">
                  <c:v>2023</c:v>
                </c:pt>
                <c:pt idx="4">
                  <c:v>2024</c:v>
                </c:pt>
              </c:strCache>
            </c:strRef>
          </c:cat>
          <c:val>
            <c:numRef>
              <c:f>'Pivot Tables 2'!$D$5:$D$10</c:f>
              <c:numCache>
                <c:formatCode>General</c:formatCode>
                <c:ptCount val="5"/>
                <c:pt idx="0">
                  <c:v>49070000</c:v>
                </c:pt>
                <c:pt idx="1">
                  <c:v>54710000</c:v>
                </c:pt>
                <c:pt idx="2">
                  <c:v>60960000</c:v>
                </c:pt>
                <c:pt idx="3">
                  <c:v>62300000</c:v>
                </c:pt>
                <c:pt idx="4">
                  <c:v>55190000</c:v>
                </c:pt>
              </c:numCache>
            </c:numRef>
          </c:val>
        </c:ser>
        <c:dLbls>
          <c:showLegendKey val="0"/>
          <c:showVal val="0"/>
          <c:showCatName val="0"/>
          <c:showSerName val="0"/>
          <c:showPercent val="0"/>
          <c:showBubbleSize val="0"/>
        </c:dLbls>
        <c:gapWidth val="219"/>
        <c:overlap val="-27"/>
        <c:axId val="866560800"/>
        <c:axId val="866556448"/>
      </c:barChart>
      <c:catAx>
        <c:axId val="866560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6556448"/>
        <c:crosses val="autoZero"/>
        <c:auto val="1"/>
        <c:lblAlgn val="ctr"/>
        <c:lblOffset val="100"/>
        <c:noMultiLvlLbl val="0"/>
      </c:catAx>
      <c:valAx>
        <c:axId val="86655644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6560800"/>
        <c:crosses val="autoZero"/>
        <c:crossBetween val="between"/>
        <c:dispUnits>
          <c:builtInUnit val="millions"/>
        </c:dispUnits>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[Solano_Assessment_AllCard.xlsx]Pivot Tables 2!opexp_sum</c:name>
    <c:fmtId val="2"/>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rgbClr val="960000"/>
          </a:solidFill>
          <a:ln w="95250">
            <a:solidFill>
              <a:srgbClr val="960000"/>
            </a:solidFill>
          </a:ln>
          <a:effectLst/>
        </c:spPr>
        <c:marker>
          <c:symbol val="none"/>
        </c:marker>
      </c:pivotFmt>
    </c:pivotFmts>
    <c:plotArea>
      <c:layout/>
      <c:barChart>
        <c:barDir val="col"/>
        <c:grouping val="clustered"/>
        <c:varyColors val="0"/>
        <c:ser>
          <c:idx val="0"/>
          <c:order val="0"/>
          <c:tx>
            <c:strRef>
              <c:f>'Pivot Tables 2'!$G$4</c:f>
              <c:strCache>
                <c:ptCount val="1"/>
                <c:pt idx="0">
                  <c:v>Total</c:v>
                </c:pt>
              </c:strCache>
            </c:strRef>
          </c:tx>
          <c:spPr>
            <a:solidFill>
              <a:srgbClr val="960000"/>
            </a:solidFill>
            <a:ln w="95250">
              <a:solidFill>
                <a:srgbClr val="960000"/>
              </a:solidFill>
            </a:ln>
            <a:effectLst/>
          </c:spPr>
          <c:invertIfNegative val="0"/>
          <c:cat>
            <c:strRef>
              <c:f>'Pivot Tables 2'!$F$5:$F$10</c:f>
              <c:strCache>
                <c:ptCount val="5"/>
                <c:pt idx="0">
                  <c:v>2020</c:v>
                </c:pt>
                <c:pt idx="1">
                  <c:v>2021</c:v>
                </c:pt>
                <c:pt idx="2">
                  <c:v>2022</c:v>
                </c:pt>
                <c:pt idx="3">
                  <c:v>2023</c:v>
                </c:pt>
                <c:pt idx="4">
                  <c:v>2024</c:v>
                </c:pt>
              </c:strCache>
            </c:strRef>
          </c:cat>
          <c:val>
            <c:numRef>
              <c:f>'Pivot Tables 2'!$G$5:$G$10</c:f>
              <c:numCache>
                <c:formatCode>General</c:formatCode>
                <c:ptCount val="5"/>
                <c:pt idx="0">
                  <c:v>32840000</c:v>
                </c:pt>
                <c:pt idx="1">
                  <c:v>36210000</c:v>
                </c:pt>
                <c:pt idx="2">
                  <c:v>39920000</c:v>
                </c:pt>
                <c:pt idx="3">
                  <c:v>36720000</c:v>
                </c:pt>
                <c:pt idx="4">
                  <c:v>34070000</c:v>
                </c:pt>
              </c:numCache>
            </c:numRef>
          </c:val>
        </c:ser>
        <c:dLbls>
          <c:showLegendKey val="0"/>
          <c:showVal val="0"/>
          <c:showCatName val="0"/>
          <c:showSerName val="0"/>
          <c:showPercent val="0"/>
          <c:showBubbleSize val="0"/>
        </c:dLbls>
        <c:gapWidth val="219"/>
        <c:overlap val="-27"/>
        <c:axId val="866565696"/>
        <c:axId val="866560256"/>
      </c:barChart>
      <c:catAx>
        <c:axId val="866565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6560256"/>
        <c:crosses val="autoZero"/>
        <c:auto val="1"/>
        <c:lblAlgn val="ctr"/>
        <c:lblOffset val="100"/>
        <c:noMultiLvlLbl val="0"/>
      </c:catAx>
      <c:valAx>
        <c:axId val="86656025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6565696"/>
        <c:crosses val="autoZero"/>
        <c:crossBetween val="between"/>
        <c:dispUnits>
          <c:builtInUnit val="millions"/>
        </c:dispUnits>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[Solano_Assessment_AllCard.xlsx]Pivot Tables 2!gross_profit_sum</c:name>
    <c:fmtId val="5"/>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rgbClr val="960000"/>
          </a:solidFill>
          <a:ln w="95250">
            <a:solidFill>
              <a:srgbClr val="960000"/>
            </a:solidFill>
          </a:ln>
          <a:effectLst/>
        </c:spPr>
        <c:marker>
          <c:symbol val="none"/>
        </c:marker>
      </c:pivotFmt>
    </c:pivotFmts>
    <c:plotArea>
      <c:layout/>
      <c:barChart>
        <c:barDir val="bar"/>
        <c:grouping val="clustered"/>
        <c:varyColors val="0"/>
        <c:ser>
          <c:idx val="0"/>
          <c:order val="0"/>
          <c:tx>
            <c:strRef>
              <c:f>'Pivot Tables 2'!$J$4</c:f>
              <c:strCache>
                <c:ptCount val="1"/>
                <c:pt idx="0">
                  <c:v>Total</c:v>
                </c:pt>
              </c:strCache>
            </c:strRef>
          </c:tx>
          <c:spPr>
            <a:solidFill>
              <a:srgbClr val="960000"/>
            </a:solidFill>
            <a:ln w="95250">
              <a:solidFill>
                <a:srgbClr val="960000"/>
              </a:solidFill>
            </a:ln>
            <a:effectLst/>
          </c:spPr>
          <c:invertIfNegative val="0"/>
          <c:cat>
            <c:strRef>
              <c:f>'Pivot Tables 2'!$I$5:$I$10</c:f>
              <c:strCache>
                <c:ptCount val="5"/>
                <c:pt idx="0">
                  <c:v>2020</c:v>
                </c:pt>
                <c:pt idx="1">
                  <c:v>2021</c:v>
                </c:pt>
                <c:pt idx="2">
                  <c:v>2022</c:v>
                </c:pt>
                <c:pt idx="3">
                  <c:v>2023</c:v>
                </c:pt>
                <c:pt idx="4">
                  <c:v>2024</c:v>
                </c:pt>
              </c:strCache>
            </c:strRef>
          </c:cat>
          <c:val>
            <c:numRef>
              <c:f>'Pivot Tables 2'!$J$5:$J$10</c:f>
              <c:numCache>
                <c:formatCode>General</c:formatCode>
                <c:ptCount val="5"/>
                <c:pt idx="0">
                  <c:v>16230000</c:v>
                </c:pt>
                <c:pt idx="1">
                  <c:v>18500000</c:v>
                </c:pt>
                <c:pt idx="2">
                  <c:v>21040000</c:v>
                </c:pt>
                <c:pt idx="3">
                  <c:v>25580000</c:v>
                </c:pt>
                <c:pt idx="4">
                  <c:v>21120000</c:v>
                </c:pt>
              </c:numCache>
            </c:numRef>
          </c:val>
        </c:ser>
        <c:dLbls>
          <c:showLegendKey val="0"/>
          <c:showVal val="0"/>
          <c:showCatName val="0"/>
          <c:showSerName val="0"/>
          <c:showPercent val="0"/>
          <c:showBubbleSize val="0"/>
        </c:dLbls>
        <c:gapWidth val="150"/>
        <c:axId val="866554272"/>
        <c:axId val="866557536"/>
      </c:barChart>
      <c:catAx>
        <c:axId val="8665542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6557536"/>
        <c:crosses val="autoZero"/>
        <c:auto val="1"/>
        <c:lblAlgn val="ctr"/>
        <c:lblOffset val="100"/>
        <c:noMultiLvlLbl val="0"/>
      </c:catAx>
      <c:valAx>
        <c:axId val="866557536"/>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6554272"/>
        <c:crosses val="autoZero"/>
        <c:crossBetween val="between"/>
        <c:dispUnits>
          <c:builtInUnit val="millions"/>
        </c:dispUnits>
      </c:valAx>
      <c:spPr>
        <a:noFill/>
        <a:ln>
          <a:solidFill>
            <a:schemeClr val="bg1"/>
          </a:solid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[Solano_Assessment_AllCard.xlsx]Pivot Tables 2!avg_profit_margin</c:name>
    <c:fmtId val="2"/>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
        <c:spPr>
          <a:ln w="60325" cap="rnd">
            <a:solidFill>
              <a:srgbClr val="FFC000"/>
            </a:solidFill>
            <a:round/>
          </a:ln>
          <a:effectLst/>
        </c:spPr>
        <c:marker>
          <c:symbol val="circle"/>
          <c:size val="5"/>
          <c:spPr>
            <a:solidFill>
              <a:srgbClr val="960000"/>
            </a:solidFill>
            <a:ln w="9525">
              <a:solidFill>
                <a:srgbClr val="960000"/>
              </a:solidFill>
            </a:ln>
            <a:effectLst/>
          </c:spPr>
        </c:marker>
      </c:pivotFmt>
    </c:pivotFmts>
    <c:plotArea>
      <c:layout/>
      <c:lineChart>
        <c:grouping val="standard"/>
        <c:varyColors val="0"/>
        <c:ser>
          <c:idx val="0"/>
          <c:order val="0"/>
          <c:tx>
            <c:strRef>
              <c:f>'Pivot Tables 2'!$M$4</c:f>
              <c:strCache>
                <c:ptCount val="1"/>
                <c:pt idx="0">
                  <c:v>Total</c:v>
                </c:pt>
              </c:strCache>
            </c:strRef>
          </c:tx>
          <c:spPr>
            <a:ln w="60325" cap="rnd">
              <a:solidFill>
                <a:srgbClr val="FFC000"/>
              </a:solidFill>
              <a:round/>
            </a:ln>
            <a:effectLst/>
          </c:spPr>
          <c:marker>
            <c:symbol val="circle"/>
            <c:size val="5"/>
            <c:spPr>
              <a:solidFill>
                <a:srgbClr val="960000"/>
              </a:solidFill>
              <a:ln w="9525">
                <a:solidFill>
                  <a:srgbClr val="960000"/>
                </a:solidFill>
              </a:ln>
              <a:effectLst/>
            </c:spPr>
          </c:marker>
          <c:cat>
            <c:strRef>
              <c:f>'Pivot Tables 2'!$L$5:$L$10</c:f>
              <c:strCache>
                <c:ptCount val="5"/>
                <c:pt idx="0">
                  <c:v>2020</c:v>
                </c:pt>
                <c:pt idx="1">
                  <c:v>2021</c:v>
                </c:pt>
                <c:pt idx="2">
                  <c:v>2022</c:v>
                </c:pt>
                <c:pt idx="3">
                  <c:v>2023</c:v>
                </c:pt>
                <c:pt idx="4">
                  <c:v>2024</c:v>
                </c:pt>
              </c:strCache>
            </c:strRef>
          </c:cat>
          <c:val>
            <c:numRef>
              <c:f>'Pivot Tables 2'!$M$5:$M$10</c:f>
              <c:numCache>
                <c:formatCode>General</c:formatCode>
                <c:ptCount val="5"/>
                <c:pt idx="0">
                  <c:v>0.33067499787928234</c:v>
                </c:pt>
                <c:pt idx="1">
                  <c:v>0.33805173366172131</c:v>
                </c:pt>
                <c:pt idx="2">
                  <c:v>0.34497050644385885</c:v>
                </c:pt>
                <c:pt idx="3">
                  <c:v>0.40937722830651757</c:v>
                </c:pt>
                <c:pt idx="4">
                  <c:v>0.38198184984930256</c:v>
                </c:pt>
              </c:numCache>
            </c:numRef>
          </c:val>
          <c:smooth val="0"/>
        </c:ser>
        <c:dLbls>
          <c:showLegendKey val="0"/>
          <c:showVal val="0"/>
          <c:showCatName val="0"/>
          <c:showSerName val="0"/>
          <c:showPercent val="0"/>
          <c:showBubbleSize val="0"/>
        </c:dLbls>
        <c:marker val="1"/>
        <c:smooth val="0"/>
        <c:axId val="866554816"/>
        <c:axId val="866561888"/>
      </c:lineChart>
      <c:catAx>
        <c:axId val="866554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6561888"/>
        <c:crosses val="autoZero"/>
        <c:auto val="1"/>
        <c:lblAlgn val="ctr"/>
        <c:lblOffset val="100"/>
        <c:noMultiLvlLbl val="0"/>
      </c:catAx>
      <c:valAx>
        <c:axId val="8665618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6554816"/>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[Solano_Assessment_AllCard.xlsx]Pivot Tables 2!avg_feedback_score</c:name>
    <c:fmtId val="2"/>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
        <c:spPr>
          <a:ln w="60325" cap="rnd">
            <a:solidFill>
              <a:srgbClr val="FFC000"/>
            </a:solidFill>
            <a:round/>
          </a:ln>
          <a:effectLst/>
        </c:spPr>
        <c:marker>
          <c:symbol val="circle"/>
          <c:size val="5"/>
          <c:spPr>
            <a:solidFill>
              <a:srgbClr val="960000"/>
            </a:solidFill>
            <a:ln w="9525">
              <a:solidFill>
                <a:srgbClr val="960000"/>
              </a:solidFill>
            </a:ln>
            <a:effectLst/>
          </c:spPr>
        </c:marker>
      </c:pivotFmt>
    </c:pivotFmts>
    <c:plotArea>
      <c:layout/>
      <c:lineChart>
        <c:grouping val="standard"/>
        <c:varyColors val="0"/>
        <c:ser>
          <c:idx val="0"/>
          <c:order val="0"/>
          <c:tx>
            <c:strRef>
              <c:f>'Pivot Tables 2'!$S$4</c:f>
              <c:strCache>
                <c:ptCount val="1"/>
                <c:pt idx="0">
                  <c:v>Total</c:v>
                </c:pt>
              </c:strCache>
            </c:strRef>
          </c:tx>
          <c:spPr>
            <a:ln w="60325" cap="rnd">
              <a:solidFill>
                <a:srgbClr val="FFC000"/>
              </a:solidFill>
              <a:round/>
            </a:ln>
            <a:effectLst/>
          </c:spPr>
          <c:marker>
            <c:symbol val="circle"/>
            <c:size val="5"/>
            <c:spPr>
              <a:solidFill>
                <a:srgbClr val="960000"/>
              </a:solidFill>
              <a:ln w="9525">
                <a:solidFill>
                  <a:srgbClr val="960000"/>
                </a:solidFill>
              </a:ln>
              <a:effectLst/>
            </c:spPr>
          </c:marker>
          <c:cat>
            <c:strRef>
              <c:f>'Pivot Tables 2'!$R$5:$R$10</c:f>
              <c:strCache>
                <c:ptCount val="5"/>
                <c:pt idx="0">
                  <c:v>2020</c:v>
                </c:pt>
                <c:pt idx="1">
                  <c:v>2021</c:v>
                </c:pt>
                <c:pt idx="2">
                  <c:v>2022</c:v>
                </c:pt>
                <c:pt idx="3">
                  <c:v>2023</c:v>
                </c:pt>
                <c:pt idx="4">
                  <c:v>2024</c:v>
                </c:pt>
              </c:strCache>
            </c:strRef>
          </c:cat>
          <c:val>
            <c:numRef>
              <c:f>'Pivot Tables 2'!$S$5:$S$10</c:f>
              <c:numCache>
                <c:formatCode>General</c:formatCode>
                <c:ptCount val="5"/>
                <c:pt idx="0">
                  <c:v>0.84566666666666668</c:v>
                </c:pt>
                <c:pt idx="1">
                  <c:v>0.85263170163170143</c:v>
                </c:pt>
                <c:pt idx="2">
                  <c:v>0.85959673659673641</c:v>
                </c:pt>
                <c:pt idx="3">
                  <c:v>0.86656177156177128</c:v>
                </c:pt>
                <c:pt idx="4">
                  <c:v>0.87352680652680625</c:v>
                </c:pt>
              </c:numCache>
            </c:numRef>
          </c:val>
          <c:smooth val="0"/>
        </c:ser>
        <c:dLbls>
          <c:showLegendKey val="0"/>
          <c:showVal val="0"/>
          <c:showCatName val="0"/>
          <c:showSerName val="0"/>
          <c:showPercent val="0"/>
          <c:showBubbleSize val="0"/>
        </c:dLbls>
        <c:marker val="1"/>
        <c:smooth val="0"/>
        <c:axId val="866552096"/>
        <c:axId val="866562976"/>
      </c:lineChart>
      <c:catAx>
        <c:axId val="866552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6562976"/>
        <c:crosses val="autoZero"/>
        <c:auto val="1"/>
        <c:lblAlgn val="ctr"/>
        <c:lblOffset val="100"/>
        <c:noMultiLvlLbl val="0"/>
      </c:catAx>
      <c:valAx>
        <c:axId val="86656297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6552096"/>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Dashboard!A1"/><Relationship Id="rId13" Type="http://schemas.openxmlformats.org/officeDocument/2006/relationships/image" Target="../media/image4.png"/><Relationship Id="rId18" Type="http://schemas.openxmlformats.org/officeDocument/2006/relationships/chart" Target="../charts/chart11.xml"/><Relationship Id="rId3" Type="http://schemas.openxmlformats.org/officeDocument/2006/relationships/chart" Target="../charts/chart2.xml"/><Relationship Id="rId7" Type="http://schemas.openxmlformats.org/officeDocument/2006/relationships/chart" Target="../charts/chart6.xml"/><Relationship Id="rId12" Type="http://schemas.openxmlformats.org/officeDocument/2006/relationships/hyperlink" Target="#'Pivot Tables'!A1"/><Relationship Id="rId17" Type="http://schemas.openxmlformats.org/officeDocument/2006/relationships/chart" Target="../charts/chart10.xml"/><Relationship Id="rId2" Type="http://schemas.openxmlformats.org/officeDocument/2006/relationships/chart" Target="../charts/chart1.xml"/><Relationship Id="rId16" Type="http://schemas.openxmlformats.org/officeDocument/2006/relationships/chart" Target="../charts/chart9.xml"/><Relationship Id="rId1" Type="http://schemas.openxmlformats.org/officeDocument/2006/relationships/image" Target="../media/image1.png"/><Relationship Id="rId6" Type="http://schemas.openxmlformats.org/officeDocument/2006/relationships/chart" Target="../charts/chart5.xml"/><Relationship Id="rId11" Type="http://schemas.openxmlformats.org/officeDocument/2006/relationships/image" Target="../media/image3.png"/><Relationship Id="rId5" Type="http://schemas.openxmlformats.org/officeDocument/2006/relationships/chart" Target="../charts/chart4.xml"/><Relationship Id="rId15" Type="http://schemas.openxmlformats.org/officeDocument/2006/relationships/chart" Target="../charts/chart8.xml"/><Relationship Id="rId10" Type="http://schemas.openxmlformats.org/officeDocument/2006/relationships/hyperlink" Target="#Data!A1"/><Relationship Id="rId4" Type="http://schemas.openxmlformats.org/officeDocument/2006/relationships/chart" Target="../charts/chart3.xml"/><Relationship Id="rId9" Type="http://schemas.openxmlformats.org/officeDocument/2006/relationships/image" Target="../media/image2.png"/><Relationship Id="rId14" Type="http://schemas.openxmlformats.org/officeDocument/2006/relationships/chart" Target="../charts/chart7.xml"/></Relationships>
</file>

<file path=xl/drawings/_rels/drawing2.xml.rels><?xml version="1.0" encoding="UTF-8" standalone="yes"?>
<Relationships xmlns="http://schemas.openxmlformats.org/package/2006/relationships"><Relationship Id="rId3" Type="http://schemas.openxmlformats.org/officeDocument/2006/relationships/image" Target="../media/image5.png"/><Relationship Id="rId7" Type="http://schemas.openxmlformats.org/officeDocument/2006/relationships/image" Target="../media/image7.png"/><Relationship Id="rId2" Type="http://schemas.openxmlformats.org/officeDocument/2006/relationships/hyperlink" Target="#Dashboard!A1"/><Relationship Id="rId1" Type="http://schemas.openxmlformats.org/officeDocument/2006/relationships/image" Target="../media/image1.png"/><Relationship Id="rId6" Type="http://schemas.openxmlformats.org/officeDocument/2006/relationships/hyperlink" Target="#'Pivot Tables'!A1"/><Relationship Id="rId5" Type="http://schemas.openxmlformats.org/officeDocument/2006/relationships/image" Target="../media/image6.png"/><Relationship Id="rId4" Type="http://schemas.openxmlformats.org/officeDocument/2006/relationships/hyperlink" Target="#Data!A1"/></Relationships>
</file>

<file path=xl/drawings/_rels/drawing3.xml.rels><?xml version="1.0" encoding="UTF-8" standalone="yes"?>
<Relationships xmlns="http://schemas.openxmlformats.org/package/2006/relationships"><Relationship Id="rId3" Type="http://schemas.openxmlformats.org/officeDocument/2006/relationships/image" Target="../media/image5.png"/><Relationship Id="rId7" Type="http://schemas.openxmlformats.org/officeDocument/2006/relationships/image" Target="../media/image7.png"/><Relationship Id="rId2" Type="http://schemas.openxmlformats.org/officeDocument/2006/relationships/hyperlink" Target="#Dashboard!A1"/><Relationship Id="rId1" Type="http://schemas.openxmlformats.org/officeDocument/2006/relationships/image" Target="../media/image1.png"/><Relationship Id="rId6" Type="http://schemas.openxmlformats.org/officeDocument/2006/relationships/hyperlink" Target="#'Pivot Tables'!A1"/><Relationship Id="rId5" Type="http://schemas.openxmlformats.org/officeDocument/2006/relationships/image" Target="../media/image6.png"/><Relationship Id="rId4" Type="http://schemas.openxmlformats.org/officeDocument/2006/relationships/hyperlink" Target="#Data!A1"/></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82364</xdr:colOff>
      <xdr:row>0</xdr:row>
      <xdr:rowOff>180975</xdr:rowOff>
    </xdr:from>
    <xdr:to>
      <xdr:col>1</xdr:col>
      <xdr:colOff>526426</xdr:colOff>
      <xdr:row>1</xdr:row>
      <xdr:rowOff>183374</xdr:rowOff>
    </xdr:to>
    <xdr:pic>
      <xdr:nvPicPr>
        <xdr:cNvPr id="4" name="Picture 3"/>
        <xdr:cNvPicPr>
          <a:picLocks noChangeAspect="1"/>
        </xdr:cNvPicPr>
      </xdr:nvPicPr>
      <xdr:blipFill rotWithShape="1">
        <a:blip xmlns:r="http://schemas.openxmlformats.org/officeDocument/2006/relationships" r:embed="rId1"/>
        <a:srcRect l="10057" r="9813"/>
        <a:stretch/>
      </xdr:blipFill>
      <xdr:spPr>
        <a:xfrm>
          <a:off x="82364" y="180975"/>
          <a:ext cx="1049180" cy="271340"/>
        </a:xfrm>
        <a:prstGeom prst="rect">
          <a:avLst/>
        </a:prstGeom>
        <a:effectLst>
          <a:outerShdw blurRad="50800" dist="38100" dir="5400000" algn="t" rotWithShape="0">
            <a:prstClr val="black">
              <a:alpha val="40000"/>
            </a:prstClr>
          </a:outerShdw>
          <a:reflection blurRad="6350" stA="50000" endA="300" endPos="38500" dist="50800" dir="5400000" sy="-100000" algn="bl" rotWithShape="0"/>
        </a:effectLst>
      </xdr:spPr>
    </xdr:pic>
    <xdr:clientData/>
  </xdr:twoCellAnchor>
  <xdr:twoCellAnchor>
    <xdr:from>
      <xdr:col>3</xdr:col>
      <xdr:colOff>0</xdr:colOff>
      <xdr:row>0</xdr:row>
      <xdr:rowOff>160328</xdr:rowOff>
    </xdr:from>
    <xdr:to>
      <xdr:col>12</xdr:col>
      <xdr:colOff>291352</xdr:colOff>
      <xdr:row>4</xdr:row>
      <xdr:rowOff>66676</xdr:rowOff>
    </xdr:to>
    <xdr:sp macro="" textlink="">
      <xdr:nvSpPr>
        <xdr:cNvPr id="5" name="Rounded Rectangle 4"/>
        <xdr:cNvSpPr/>
      </xdr:nvSpPr>
      <xdr:spPr>
        <a:xfrm>
          <a:off x="1210235" y="160328"/>
          <a:ext cx="5983941" cy="746789"/>
        </a:xfrm>
        <a:prstGeom prst="roundRect">
          <a:avLst>
            <a:gd name="adj" fmla="val 9743"/>
          </a:avLst>
        </a:prstGeom>
        <a:solidFill>
          <a:sysClr val="window" lastClr="FFFFFF"/>
        </a:solidFill>
        <a:ln>
          <a:solidFill>
            <a:schemeClr val="bg1"/>
          </a:solid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400" b="1">
              <a:solidFill>
                <a:schemeClr val="accent5">
                  <a:lumMod val="50000"/>
                </a:schemeClr>
              </a:solidFill>
              <a:latin typeface="+mn-lt"/>
              <a:cs typeface="Arial" panose="020B0604020202020204" pitchFamily="34" charset="0"/>
            </a:rPr>
            <a:t>Manufacturing Plant Dashboard (2020-2024)</a:t>
          </a:r>
        </a:p>
        <a:p>
          <a:pPr algn="l"/>
          <a:r>
            <a:rPr lang="en-US" sz="1400" b="1" i="1">
              <a:ln>
                <a:noFill/>
              </a:ln>
              <a:solidFill>
                <a:schemeClr val="accent5">
                  <a:lumMod val="50000"/>
                </a:schemeClr>
              </a:solidFill>
              <a:latin typeface="+mn-lt"/>
              <a:cs typeface="Arial" panose="020B0604020202020204" pitchFamily="34" charset="0"/>
            </a:rPr>
            <a:t>Prepared</a:t>
          </a:r>
          <a:r>
            <a:rPr lang="en-US" sz="1400" b="1" i="1" baseline="0">
              <a:ln>
                <a:noFill/>
              </a:ln>
              <a:solidFill>
                <a:schemeClr val="accent5">
                  <a:lumMod val="50000"/>
                </a:schemeClr>
              </a:solidFill>
              <a:latin typeface="+mn-lt"/>
              <a:cs typeface="Arial" panose="020B0604020202020204" pitchFamily="34" charset="0"/>
            </a:rPr>
            <a:t> by: Gene Kyle P. Solano, June 23, 2025</a:t>
          </a:r>
          <a:endParaRPr lang="en-US" sz="1400" b="1" i="1">
            <a:ln>
              <a:noFill/>
            </a:ln>
            <a:solidFill>
              <a:schemeClr val="accent5">
                <a:lumMod val="50000"/>
              </a:schemeClr>
            </a:solidFill>
            <a:latin typeface="+mn-lt"/>
            <a:cs typeface="Arial" panose="020B0604020202020204" pitchFamily="34" charset="0"/>
          </a:endParaRPr>
        </a:p>
      </xdr:txBody>
    </xdr:sp>
    <xdr:clientData/>
  </xdr:twoCellAnchor>
  <xdr:twoCellAnchor>
    <xdr:from>
      <xdr:col>3</xdr:col>
      <xdr:colOff>128432</xdr:colOff>
      <xdr:row>32</xdr:row>
      <xdr:rowOff>103836</xdr:rowOff>
    </xdr:from>
    <xdr:to>
      <xdr:col>13</xdr:col>
      <xdr:colOff>263024</xdr:colOff>
      <xdr:row>49</xdr:row>
      <xdr:rowOff>136908</xdr:rowOff>
    </xdr:to>
    <xdr:sp macro="" textlink="">
      <xdr:nvSpPr>
        <xdr:cNvPr id="8" name="Rounded Rectangle 7"/>
        <xdr:cNvSpPr/>
      </xdr:nvSpPr>
      <xdr:spPr>
        <a:xfrm>
          <a:off x="1338667" y="6278277"/>
          <a:ext cx="6432298" cy="3271572"/>
        </a:xfrm>
        <a:prstGeom prst="roundRect">
          <a:avLst>
            <a:gd name="adj" fmla="val 3723"/>
          </a:avLst>
        </a:prstGeom>
        <a:solidFill>
          <a:sysClr val="window" lastClr="FFFFFF"/>
        </a:solidFill>
        <a:ln>
          <a:solidFill>
            <a:schemeClr val="bg1"/>
          </a:solid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sz="1800" b="1" i="0">
              <a:ln>
                <a:noFill/>
              </a:ln>
              <a:solidFill>
                <a:srgbClr val="002060"/>
              </a:solidFill>
              <a:latin typeface="+mn-lt"/>
              <a:cs typeface="Arial" panose="020B0604020202020204" pitchFamily="34" charset="0"/>
            </a:rPr>
            <a:t>Monthly Revenue vs. Operating Expense</a:t>
          </a:r>
          <a:br>
            <a:rPr lang="en-US" sz="1800" b="1" i="0">
              <a:ln>
                <a:noFill/>
              </a:ln>
              <a:solidFill>
                <a:srgbClr val="002060"/>
              </a:solidFill>
              <a:latin typeface="+mn-lt"/>
              <a:cs typeface="Arial" panose="020B0604020202020204" pitchFamily="34" charset="0"/>
            </a:rPr>
          </a:br>
          <a:r>
            <a:rPr lang="en-US" sz="1000" b="1" i="1">
              <a:solidFill>
                <a:srgbClr val="002060"/>
              </a:solidFill>
              <a:effectLst/>
              <a:latin typeface="+mn-lt"/>
              <a:ea typeface="+mn-ea"/>
              <a:cs typeface="+mn-cs"/>
            </a:rPr>
            <a:t>(in millions)</a:t>
          </a:r>
          <a:endParaRPr lang="en-US" sz="1000">
            <a:solidFill>
              <a:srgbClr val="002060"/>
            </a:solidFill>
            <a:effectLst/>
          </a:endParaRPr>
        </a:p>
        <a:p>
          <a:pPr algn="l"/>
          <a:endParaRPr lang="en-US" sz="1800" b="1" i="0">
            <a:ln>
              <a:noFill/>
            </a:ln>
            <a:solidFill>
              <a:srgbClr val="002060"/>
            </a:solidFill>
            <a:latin typeface="+mn-lt"/>
            <a:cs typeface="Arial" panose="020B0604020202020204" pitchFamily="34" charset="0"/>
          </a:endParaRPr>
        </a:p>
      </xdr:txBody>
    </xdr:sp>
    <xdr:clientData/>
  </xdr:twoCellAnchor>
  <xdr:twoCellAnchor>
    <xdr:from>
      <xdr:col>3</xdr:col>
      <xdr:colOff>160734</xdr:colOff>
      <xdr:row>50</xdr:row>
      <xdr:rowOff>79343</xdr:rowOff>
    </xdr:from>
    <xdr:to>
      <xdr:col>13</xdr:col>
      <xdr:colOff>295326</xdr:colOff>
      <xdr:row>67</xdr:row>
      <xdr:rowOff>112415</xdr:rowOff>
    </xdr:to>
    <xdr:sp macro="" textlink="">
      <xdr:nvSpPr>
        <xdr:cNvPr id="9" name="Rounded Rectangle 8"/>
        <xdr:cNvSpPr/>
      </xdr:nvSpPr>
      <xdr:spPr>
        <a:xfrm>
          <a:off x="1370969" y="9682784"/>
          <a:ext cx="6432298" cy="3271572"/>
        </a:xfrm>
        <a:prstGeom prst="roundRect">
          <a:avLst>
            <a:gd name="adj" fmla="val 3723"/>
          </a:avLst>
        </a:prstGeom>
        <a:solidFill>
          <a:sysClr val="window" lastClr="FFFFFF"/>
        </a:solidFill>
        <a:ln>
          <a:solidFill>
            <a:schemeClr val="bg1"/>
          </a:solid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i="0">
              <a:ln>
                <a:noFill/>
              </a:ln>
              <a:solidFill>
                <a:schemeClr val="accent5">
                  <a:lumMod val="50000"/>
                </a:schemeClr>
              </a:solidFill>
              <a:latin typeface="+mn-lt"/>
              <a:cs typeface="Arial" panose="020B0604020202020204" pitchFamily="34" charset="0"/>
            </a:rPr>
            <a:t>Production Output Performance</a:t>
          </a:r>
        </a:p>
      </xdr:txBody>
    </xdr:sp>
    <xdr:clientData/>
  </xdr:twoCellAnchor>
  <xdr:twoCellAnchor>
    <xdr:from>
      <xdr:col>13</xdr:col>
      <xdr:colOff>398859</xdr:colOff>
      <xdr:row>50</xdr:row>
      <xdr:rowOff>79343</xdr:rowOff>
    </xdr:from>
    <xdr:to>
      <xdr:col>21</xdr:col>
      <xdr:colOff>56030</xdr:colOff>
      <xdr:row>58</xdr:row>
      <xdr:rowOff>92950</xdr:rowOff>
    </xdr:to>
    <xdr:sp macro="" textlink="">
      <xdr:nvSpPr>
        <xdr:cNvPr id="10" name="Rounded Rectangle 9"/>
        <xdr:cNvSpPr/>
      </xdr:nvSpPr>
      <xdr:spPr>
        <a:xfrm>
          <a:off x="7906800" y="9682784"/>
          <a:ext cx="4498112" cy="1537607"/>
        </a:xfrm>
        <a:prstGeom prst="roundRect">
          <a:avLst>
            <a:gd name="adj" fmla="val 3723"/>
          </a:avLst>
        </a:prstGeom>
        <a:solidFill>
          <a:sysClr val="window" lastClr="FFFFFF"/>
        </a:solidFill>
        <a:ln>
          <a:solidFill>
            <a:schemeClr val="bg1"/>
          </a:solid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sz="1800" b="1" i="0">
              <a:ln>
                <a:noFill/>
              </a:ln>
              <a:solidFill>
                <a:srgbClr val="002060"/>
              </a:solidFill>
              <a:latin typeface="+mn-lt"/>
              <a:cs typeface="Arial" panose="020B0604020202020204" pitchFamily="34" charset="0"/>
            </a:rPr>
            <a:t>Downtime</a:t>
          </a:r>
          <a:r>
            <a:rPr lang="en-US" sz="1800" b="1" i="0" baseline="0">
              <a:ln>
                <a:noFill/>
              </a:ln>
              <a:solidFill>
                <a:srgbClr val="002060"/>
              </a:solidFill>
              <a:latin typeface="+mn-lt"/>
              <a:cs typeface="Arial" panose="020B0604020202020204" pitchFamily="34" charset="0"/>
            </a:rPr>
            <a:t/>
          </a:r>
          <a:br>
            <a:rPr lang="en-US" sz="1800" b="1" i="0" baseline="0">
              <a:ln>
                <a:noFill/>
              </a:ln>
              <a:solidFill>
                <a:srgbClr val="002060"/>
              </a:solidFill>
              <a:latin typeface="+mn-lt"/>
              <a:cs typeface="Arial" panose="020B0604020202020204" pitchFamily="34" charset="0"/>
            </a:rPr>
          </a:br>
          <a:r>
            <a:rPr lang="en-US" sz="1000" b="1" i="1">
              <a:solidFill>
                <a:srgbClr val="002060"/>
              </a:solidFill>
              <a:effectLst/>
              <a:latin typeface="+mn-lt"/>
              <a:ea typeface="+mn-ea"/>
              <a:cs typeface="+mn-cs"/>
            </a:rPr>
            <a:t>(in millions)</a:t>
          </a:r>
          <a:endParaRPr lang="en-US" sz="1000">
            <a:solidFill>
              <a:srgbClr val="002060"/>
            </a:solidFill>
            <a:effectLst/>
          </a:endParaRPr>
        </a:p>
        <a:p>
          <a:pPr algn="l"/>
          <a:endParaRPr lang="en-US" sz="1800" b="1" i="0">
            <a:ln>
              <a:noFill/>
            </a:ln>
            <a:solidFill>
              <a:srgbClr val="002060"/>
            </a:solidFill>
            <a:latin typeface="+mn-lt"/>
            <a:cs typeface="Arial" panose="020B0604020202020204" pitchFamily="34" charset="0"/>
          </a:endParaRPr>
        </a:p>
      </xdr:txBody>
    </xdr:sp>
    <xdr:clientData/>
  </xdr:twoCellAnchor>
  <xdr:twoCellAnchor>
    <xdr:from>
      <xdr:col>13</xdr:col>
      <xdr:colOff>408383</xdr:colOff>
      <xdr:row>58</xdr:row>
      <xdr:rowOff>184118</xdr:rowOff>
    </xdr:from>
    <xdr:to>
      <xdr:col>21</xdr:col>
      <xdr:colOff>89647</xdr:colOff>
      <xdr:row>67</xdr:row>
      <xdr:rowOff>112000</xdr:rowOff>
    </xdr:to>
    <xdr:sp macro="" textlink="">
      <xdr:nvSpPr>
        <xdr:cNvPr id="11" name="Rounded Rectangle 10"/>
        <xdr:cNvSpPr/>
      </xdr:nvSpPr>
      <xdr:spPr>
        <a:xfrm>
          <a:off x="7916324" y="11311559"/>
          <a:ext cx="4522205" cy="1642382"/>
        </a:xfrm>
        <a:prstGeom prst="roundRect">
          <a:avLst>
            <a:gd name="adj" fmla="val 3723"/>
          </a:avLst>
        </a:prstGeom>
        <a:solidFill>
          <a:sysClr val="window" lastClr="FFFFFF"/>
        </a:solidFill>
        <a:ln>
          <a:solidFill>
            <a:schemeClr val="bg1"/>
          </a:solid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i="0">
              <a:ln>
                <a:noFill/>
              </a:ln>
              <a:solidFill>
                <a:schemeClr val="accent5">
                  <a:lumMod val="50000"/>
                </a:schemeClr>
              </a:solidFill>
              <a:latin typeface="+mn-lt"/>
              <a:cs typeface="Arial" panose="020B0604020202020204" pitchFamily="34" charset="0"/>
            </a:rPr>
            <a:t>Defect</a:t>
          </a:r>
          <a:r>
            <a:rPr lang="en-US" sz="1800" b="1" i="0" baseline="0">
              <a:ln>
                <a:noFill/>
              </a:ln>
              <a:solidFill>
                <a:schemeClr val="accent5">
                  <a:lumMod val="50000"/>
                </a:schemeClr>
              </a:solidFill>
              <a:latin typeface="+mn-lt"/>
              <a:cs typeface="Arial" panose="020B0604020202020204" pitchFamily="34" charset="0"/>
            </a:rPr>
            <a:t> Rate</a:t>
          </a:r>
          <a:endParaRPr lang="en-US" sz="1800" b="1" i="0">
            <a:ln>
              <a:noFill/>
            </a:ln>
            <a:solidFill>
              <a:schemeClr val="accent5">
                <a:lumMod val="50000"/>
              </a:schemeClr>
            </a:solidFill>
            <a:latin typeface="+mn-lt"/>
            <a:cs typeface="Arial" panose="020B0604020202020204" pitchFamily="34" charset="0"/>
          </a:endParaRPr>
        </a:p>
      </xdr:txBody>
    </xdr:sp>
    <xdr:clientData/>
  </xdr:twoCellAnchor>
  <xdr:twoCellAnchor>
    <xdr:from>
      <xdr:col>13</xdr:col>
      <xdr:colOff>397373</xdr:colOff>
      <xdr:row>32</xdr:row>
      <xdr:rowOff>103836</xdr:rowOff>
    </xdr:from>
    <xdr:to>
      <xdr:col>21</xdr:col>
      <xdr:colOff>56030</xdr:colOff>
      <xdr:row>49</xdr:row>
      <xdr:rowOff>136908</xdr:rowOff>
    </xdr:to>
    <xdr:sp macro="" textlink="">
      <xdr:nvSpPr>
        <xdr:cNvPr id="13" name="Rounded Rectangle 12"/>
        <xdr:cNvSpPr/>
      </xdr:nvSpPr>
      <xdr:spPr>
        <a:xfrm>
          <a:off x="7905314" y="6278277"/>
          <a:ext cx="4499598" cy="3271572"/>
        </a:xfrm>
        <a:prstGeom prst="roundRect">
          <a:avLst>
            <a:gd name="adj" fmla="val 3723"/>
          </a:avLst>
        </a:prstGeom>
        <a:solidFill>
          <a:sysClr val="window" lastClr="FFFFFF"/>
        </a:solidFill>
        <a:ln>
          <a:solidFill>
            <a:schemeClr val="bg1"/>
          </a:solid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i="0">
              <a:ln>
                <a:noFill/>
              </a:ln>
              <a:solidFill>
                <a:schemeClr val="accent5">
                  <a:lumMod val="50000"/>
                </a:schemeClr>
              </a:solidFill>
              <a:latin typeface="+mn-lt"/>
              <a:cs typeface="Arial" panose="020B0604020202020204" pitchFamily="34" charset="0"/>
            </a:rPr>
            <a:t>Profit Margin Percentage </a:t>
          </a:r>
          <a:r>
            <a:rPr lang="en-US" sz="1800" b="1" i="0" baseline="0">
              <a:ln>
                <a:noFill/>
              </a:ln>
              <a:solidFill>
                <a:schemeClr val="accent5">
                  <a:lumMod val="50000"/>
                </a:schemeClr>
              </a:solidFill>
              <a:latin typeface="+mn-lt"/>
              <a:cs typeface="Arial" panose="020B0604020202020204" pitchFamily="34" charset="0"/>
            </a:rPr>
            <a:t>Trend</a:t>
          </a:r>
          <a:endParaRPr lang="en-US" sz="1800" b="1" i="0">
            <a:ln>
              <a:noFill/>
            </a:ln>
            <a:solidFill>
              <a:schemeClr val="accent5">
                <a:lumMod val="50000"/>
              </a:schemeClr>
            </a:solidFill>
            <a:latin typeface="+mn-lt"/>
            <a:cs typeface="Arial" panose="020B0604020202020204" pitchFamily="34" charset="0"/>
          </a:endParaRPr>
        </a:p>
      </xdr:txBody>
    </xdr:sp>
    <xdr:clientData/>
  </xdr:twoCellAnchor>
  <xdr:twoCellAnchor>
    <xdr:from>
      <xdr:col>3</xdr:col>
      <xdr:colOff>150844</xdr:colOff>
      <xdr:row>34</xdr:row>
      <xdr:rowOff>159864</xdr:rowOff>
    </xdr:from>
    <xdr:to>
      <xdr:col>13</xdr:col>
      <xdr:colOff>274108</xdr:colOff>
      <xdr:row>50</xdr:row>
      <xdr:rowOff>25395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70394</xdr:colOff>
      <xdr:row>2</xdr:row>
      <xdr:rowOff>105662</xdr:rowOff>
    </xdr:from>
    <xdr:to>
      <xdr:col>1</xdr:col>
      <xdr:colOff>561540</xdr:colOff>
      <xdr:row>10</xdr:row>
      <xdr:rowOff>168180</xdr:rowOff>
    </xdr:to>
    <mc:AlternateContent xmlns:mc="http://schemas.openxmlformats.org/markup-compatibility/2006">
      <mc:Choice xmlns:a14="http://schemas.microsoft.com/office/drawing/2010/main" Requires="a14">
        <xdr:graphicFrame macro="">
          <xdr:nvGraphicFramePr>
            <xdr:cNvPr id="14" name="Years"/>
            <xdr:cNvGraphicFramePr/>
          </xdr:nvGraphicFramePr>
          <xdr:xfrm>
            <a:off x="0" y="0"/>
            <a:ext cx="0" cy="0"/>
          </xdr:xfrm>
          <a:graphic>
            <a:graphicData uri="http://schemas.microsoft.com/office/drawing/2010/slicer">
              <sle:slicer xmlns:sle="http://schemas.microsoft.com/office/drawing/2010/slicer" name="Years"/>
            </a:graphicData>
          </a:graphic>
        </xdr:graphicFrame>
      </mc:Choice>
      <mc:Fallback>
        <xdr:sp macro="" textlink="">
          <xdr:nvSpPr>
            <xdr:cNvPr id="0" name=""/>
            <xdr:cNvSpPr>
              <a:spLocks noTextEdit="1"/>
            </xdr:cNvSpPr>
          </xdr:nvSpPr>
          <xdr:spPr>
            <a:xfrm>
              <a:off x="70394" y="565103"/>
              <a:ext cx="1096264" cy="158651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67235</xdr:colOff>
      <xdr:row>11</xdr:row>
      <xdr:rowOff>61530</xdr:rowOff>
    </xdr:from>
    <xdr:to>
      <xdr:col>1</xdr:col>
      <xdr:colOff>582083</xdr:colOff>
      <xdr:row>31</xdr:row>
      <xdr:rowOff>33617</xdr:rowOff>
    </xdr:to>
    <mc:AlternateContent xmlns:mc="http://schemas.openxmlformats.org/markup-compatibility/2006">
      <mc:Choice xmlns:a14="http://schemas.microsoft.com/office/drawing/2010/main" Requires="a14">
        <xdr:graphicFrame macro="">
          <xdr:nvGraphicFramePr>
            <xdr:cNvPr id="15" name="Month 1"/>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dr:sp macro="" textlink="">
          <xdr:nvSpPr>
            <xdr:cNvPr id="0" name=""/>
            <xdr:cNvSpPr>
              <a:spLocks noTextEdit="1"/>
            </xdr:cNvSpPr>
          </xdr:nvSpPr>
          <xdr:spPr>
            <a:xfrm>
              <a:off x="67235" y="2235471"/>
              <a:ext cx="1119966" cy="378208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442197</xdr:colOff>
      <xdr:row>34</xdr:row>
      <xdr:rowOff>182276</xdr:rowOff>
    </xdr:from>
    <xdr:to>
      <xdr:col>20</xdr:col>
      <xdr:colOff>582706</xdr:colOff>
      <xdr:row>49</xdr:row>
      <xdr:rowOff>134471</xdr:rowOff>
    </xdr:to>
    <xdr:graphicFrame macro="">
      <xdr:nvGraphicFramePr>
        <xdr:cNvPr id="16" name="Chart 1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162050</xdr:colOff>
      <xdr:row>52</xdr:row>
      <xdr:rowOff>103836</xdr:rowOff>
    </xdr:from>
    <xdr:to>
      <xdr:col>13</xdr:col>
      <xdr:colOff>251696</xdr:colOff>
      <xdr:row>67</xdr:row>
      <xdr:rowOff>112060</xdr:rowOff>
    </xdr:to>
    <xdr:graphicFrame macro="">
      <xdr:nvGraphicFramePr>
        <xdr:cNvPr id="17" name="Chart 1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408579</xdr:colOff>
      <xdr:row>52</xdr:row>
      <xdr:rowOff>81425</xdr:rowOff>
    </xdr:from>
    <xdr:to>
      <xdr:col>21</xdr:col>
      <xdr:colOff>22413</xdr:colOff>
      <xdr:row>58</xdr:row>
      <xdr:rowOff>70219</xdr:rowOff>
    </xdr:to>
    <xdr:graphicFrame macro="">
      <xdr:nvGraphicFramePr>
        <xdr:cNvPr id="19" name="Chart 1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444500</xdr:colOff>
      <xdr:row>60</xdr:row>
      <xdr:rowOff>165468</xdr:rowOff>
    </xdr:from>
    <xdr:to>
      <xdr:col>21</xdr:col>
      <xdr:colOff>42333</xdr:colOff>
      <xdr:row>66</xdr:row>
      <xdr:rowOff>30998</xdr:rowOff>
    </xdr:to>
    <xdr:sp macro="" textlink="'Pivot Tables 2'!A5">
      <xdr:nvSpPr>
        <xdr:cNvPr id="6" name="TextBox 5"/>
        <xdr:cNvSpPr txBox="1"/>
      </xdr:nvSpPr>
      <xdr:spPr>
        <a:xfrm>
          <a:off x="8043333" y="11669551"/>
          <a:ext cx="4508500" cy="10085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F772342-EDFD-453C-8047-A7F265F4E8F2}" type="TxLink">
            <a:rPr lang="en-US" sz="6000" b="1" i="1" u="none" strike="noStrike">
              <a:solidFill>
                <a:srgbClr val="960000"/>
              </a:solidFill>
              <a:latin typeface="Calibri"/>
              <a:cs typeface="Calibri"/>
            </a:rPr>
            <a:pPr algn="ctr"/>
            <a:t>2.32%</a:t>
          </a:fld>
          <a:endParaRPr lang="en-US" sz="71400" b="1" i="1">
            <a:solidFill>
              <a:srgbClr val="960000"/>
            </a:solidFill>
          </a:endParaRPr>
        </a:p>
      </xdr:txBody>
    </xdr:sp>
    <xdr:clientData/>
  </xdr:twoCellAnchor>
  <xdr:twoCellAnchor>
    <xdr:from>
      <xdr:col>3</xdr:col>
      <xdr:colOff>137914</xdr:colOff>
      <xdr:row>68</xdr:row>
      <xdr:rowOff>70327</xdr:rowOff>
    </xdr:from>
    <xdr:to>
      <xdr:col>13</xdr:col>
      <xdr:colOff>278110</xdr:colOff>
      <xdr:row>85</xdr:row>
      <xdr:rowOff>103399</xdr:rowOff>
    </xdr:to>
    <xdr:sp macro="" textlink="">
      <xdr:nvSpPr>
        <xdr:cNvPr id="20" name="Rounded Rectangle 19"/>
        <xdr:cNvSpPr/>
      </xdr:nvSpPr>
      <xdr:spPr>
        <a:xfrm>
          <a:off x="1348149" y="13102768"/>
          <a:ext cx="6437902" cy="3271572"/>
        </a:xfrm>
        <a:prstGeom prst="roundRect">
          <a:avLst>
            <a:gd name="adj" fmla="val 3723"/>
          </a:avLst>
        </a:prstGeom>
        <a:solidFill>
          <a:sysClr val="window" lastClr="FFFFFF"/>
        </a:solidFill>
        <a:ln>
          <a:solidFill>
            <a:schemeClr val="bg1"/>
          </a:solid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i="0">
              <a:ln>
                <a:noFill/>
              </a:ln>
              <a:solidFill>
                <a:schemeClr val="accent5">
                  <a:lumMod val="50000"/>
                </a:schemeClr>
              </a:solidFill>
              <a:latin typeface="+mn-lt"/>
              <a:cs typeface="Arial" panose="020B0604020202020204" pitchFamily="34" charset="0"/>
            </a:rPr>
            <a:t>Service Performance &amp; Customer Returns</a:t>
          </a:r>
        </a:p>
      </xdr:txBody>
    </xdr:sp>
    <xdr:clientData/>
  </xdr:twoCellAnchor>
  <xdr:twoCellAnchor>
    <xdr:from>
      <xdr:col>13</xdr:col>
      <xdr:colOff>408383</xdr:colOff>
      <xdr:row>68</xdr:row>
      <xdr:rowOff>89115</xdr:rowOff>
    </xdr:from>
    <xdr:to>
      <xdr:col>21</xdr:col>
      <xdr:colOff>134471</xdr:colOff>
      <xdr:row>85</xdr:row>
      <xdr:rowOff>128576</xdr:rowOff>
    </xdr:to>
    <xdr:sp macro="" textlink="">
      <xdr:nvSpPr>
        <xdr:cNvPr id="23" name="Rounded Rectangle 22"/>
        <xdr:cNvSpPr/>
      </xdr:nvSpPr>
      <xdr:spPr>
        <a:xfrm>
          <a:off x="7916324" y="13121556"/>
          <a:ext cx="4567029" cy="3277961"/>
        </a:xfrm>
        <a:prstGeom prst="roundRect">
          <a:avLst>
            <a:gd name="adj" fmla="val 3723"/>
          </a:avLst>
        </a:prstGeom>
        <a:solidFill>
          <a:sysClr val="window" lastClr="FFFFFF"/>
        </a:solidFill>
        <a:ln>
          <a:solidFill>
            <a:schemeClr val="bg1"/>
          </a:solid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i="0">
              <a:ln>
                <a:noFill/>
              </a:ln>
              <a:solidFill>
                <a:schemeClr val="accent5">
                  <a:lumMod val="50000"/>
                </a:schemeClr>
              </a:solidFill>
              <a:latin typeface="+mn-lt"/>
              <a:cs typeface="Arial" panose="020B0604020202020204" pitchFamily="34" charset="0"/>
            </a:rPr>
            <a:t>Customer Satisfaction</a:t>
          </a:r>
          <a:r>
            <a:rPr lang="en-US" sz="1800" b="1" i="0" baseline="0">
              <a:ln>
                <a:noFill/>
              </a:ln>
              <a:solidFill>
                <a:schemeClr val="accent5">
                  <a:lumMod val="50000"/>
                </a:schemeClr>
              </a:solidFill>
              <a:latin typeface="+mn-lt"/>
              <a:cs typeface="Arial" panose="020B0604020202020204" pitchFamily="34" charset="0"/>
            </a:rPr>
            <a:t> </a:t>
          </a:r>
          <a:r>
            <a:rPr lang="en-US" sz="1800" b="1" i="0">
              <a:ln>
                <a:noFill/>
              </a:ln>
              <a:solidFill>
                <a:schemeClr val="accent5">
                  <a:lumMod val="50000"/>
                </a:schemeClr>
              </a:solidFill>
              <a:latin typeface="+mn-lt"/>
              <a:cs typeface="Arial" panose="020B0604020202020204" pitchFamily="34" charset="0"/>
            </a:rPr>
            <a:t>KPI Radar </a:t>
          </a:r>
        </a:p>
      </xdr:txBody>
    </xdr:sp>
    <xdr:clientData/>
  </xdr:twoCellAnchor>
  <xdr:twoCellAnchor>
    <xdr:from>
      <xdr:col>13</xdr:col>
      <xdr:colOff>397606</xdr:colOff>
      <xdr:row>70</xdr:row>
      <xdr:rowOff>85776</xdr:rowOff>
    </xdr:from>
    <xdr:to>
      <xdr:col>21</xdr:col>
      <xdr:colOff>22413</xdr:colOff>
      <xdr:row>85</xdr:row>
      <xdr:rowOff>76251</xdr:rowOff>
    </xdr:to>
    <xdr:graphicFrame macro="">
      <xdr:nvGraphicFramePr>
        <xdr:cNvPr id="29" name="Chart 2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171727</xdr:colOff>
      <xdr:row>70</xdr:row>
      <xdr:rowOff>85171</xdr:rowOff>
    </xdr:from>
    <xdr:to>
      <xdr:col>13</xdr:col>
      <xdr:colOff>226156</xdr:colOff>
      <xdr:row>85</xdr:row>
      <xdr:rowOff>80333</xdr:rowOff>
    </xdr:to>
    <xdr:graphicFrame macro="">
      <xdr:nvGraphicFramePr>
        <xdr:cNvPr id="22" name="Chart 2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12</xdr:col>
      <xdr:colOff>593352</xdr:colOff>
      <xdr:row>0</xdr:row>
      <xdr:rowOff>213474</xdr:rowOff>
    </xdr:from>
    <xdr:to>
      <xdr:col>14</xdr:col>
      <xdr:colOff>81937</xdr:colOff>
      <xdr:row>4</xdr:row>
      <xdr:rowOff>104540</xdr:rowOff>
    </xdr:to>
    <xdr:pic>
      <xdr:nvPicPr>
        <xdr:cNvPr id="2" name="Picture 1">
          <a:hlinkClick xmlns:r="http://schemas.openxmlformats.org/officeDocument/2006/relationships" r:id="rId8"/>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7496176" y="213474"/>
          <a:ext cx="698820" cy="731507"/>
        </a:xfrm>
        <a:prstGeom prst="rect">
          <a:avLst/>
        </a:prstGeom>
      </xdr:spPr>
    </xdr:pic>
    <xdr:clientData/>
  </xdr:twoCellAnchor>
  <xdr:twoCellAnchor editAs="oneCell">
    <xdr:from>
      <xdr:col>14</xdr:col>
      <xdr:colOff>539563</xdr:colOff>
      <xdr:row>0</xdr:row>
      <xdr:rowOff>100855</xdr:rowOff>
    </xdr:from>
    <xdr:to>
      <xdr:col>16</xdr:col>
      <xdr:colOff>111113</xdr:colOff>
      <xdr:row>4</xdr:row>
      <xdr:rowOff>71594</xdr:rowOff>
    </xdr:to>
    <xdr:pic>
      <xdr:nvPicPr>
        <xdr:cNvPr id="3" name="Picture 2">
          <a:hlinkClick xmlns:r="http://schemas.openxmlformats.org/officeDocument/2006/relationships" r:id="rId10"/>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8652622" y="100855"/>
          <a:ext cx="781786" cy="811180"/>
        </a:xfrm>
        <a:prstGeom prst="rect">
          <a:avLst/>
        </a:prstGeom>
      </xdr:spPr>
    </xdr:pic>
    <xdr:clientData/>
  </xdr:twoCellAnchor>
  <xdr:twoCellAnchor editAs="oneCell">
    <xdr:from>
      <xdr:col>16</xdr:col>
      <xdr:colOff>560293</xdr:colOff>
      <xdr:row>0</xdr:row>
      <xdr:rowOff>224120</xdr:rowOff>
    </xdr:from>
    <xdr:to>
      <xdr:col>18</xdr:col>
      <xdr:colOff>280148</xdr:colOff>
      <xdr:row>4</xdr:row>
      <xdr:rowOff>62797</xdr:rowOff>
    </xdr:to>
    <xdr:pic>
      <xdr:nvPicPr>
        <xdr:cNvPr id="7" name="Picture 6">
          <a:hlinkClick xmlns:r="http://schemas.openxmlformats.org/officeDocument/2006/relationships" r:id="rId12"/>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9883587" y="224120"/>
          <a:ext cx="930089" cy="679118"/>
        </a:xfrm>
        <a:prstGeom prst="rect">
          <a:avLst/>
        </a:prstGeom>
      </xdr:spPr>
    </xdr:pic>
    <xdr:clientData/>
  </xdr:twoCellAnchor>
  <xdr:twoCellAnchor>
    <xdr:from>
      <xdr:col>15</xdr:col>
      <xdr:colOff>112060</xdr:colOff>
      <xdr:row>5</xdr:row>
      <xdr:rowOff>140102</xdr:rowOff>
    </xdr:from>
    <xdr:to>
      <xdr:col>21</xdr:col>
      <xdr:colOff>78442</xdr:colOff>
      <xdr:row>18</xdr:row>
      <xdr:rowOff>78441</xdr:rowOff>
    </xdr:to>
    <xdr:sp macro="" textlink="">
      <xdr:nvSpPr>
        <xdr:cNvPr id="28" name="Rounded Rectangle 27"/>
        <xdr:cNvSpPr/>
      </xdr:nvSpPr>
      <xdr:spPr>
        <a:xfrm>
          <a:off x="8830236" y="1171043"/>
          <a:ext cx="3597088" cy="2414839"/>
        </a:xfrm>
        <a:prstGeom prst="roundRect">
          <a:avLst>
            <a:gd name="adj" fmla="val 3723"/>
          </a:avLst>
        </a:prstGeom>
        <a:solidFill>
          <a:sysClr val="window" lastClr="FFFFFF"/>
        </a:solidFill>
        <a:ln>
          <a:solidFill>
            <a:schemeClr val="bg1"/>
          </a:solid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sz="1800" b="1" i="0">
              <a:ln>
                <a:noFill/>
              </a:ln>
              <a:solidFill>
                <a:srgbClr val="002060"/>
              </a:solidFill>
              <a:latin typeface="+mn-lt"/>
              <a:cs typeface="Arial" panose="020B0604020202020204" pitchFamily="34" charset="0"/>
            </a:rPr>
            <a:t>Year to Date</a:t>
          </a:r>
          <a:r>
            <a:rPr lang="en-US" sz="1800" b="1" i="0" baseline="0">
              <a:ln>
                <a:noFill/>
              </a:ln>
              <a:solidFill>
                <a:srgbClr val="002060"/>
              </a:solidFill>
              <a:latin typeface="+mn-lt"/>
              <a:cs typeface="Arial" panose="020B0604020202020204" pitchFamily="34" charset="0"/>
            </a:rPr>
            <a:t> Gross Profit</a:t>
          </a:r>
          <a:br>
            <a:rPr lang="en-US" sz="1800" b="1" i="0" baseline="0">
              <a:ln>
                <a:noFill/>
              </a:ln>
              <a:solidFill>
                <a:srgbClr val="002060"/>
              </a:solidFill>
              <a:latin typeface="+mn-lt"/>
              <a:cs typeface="Arial" panose="020B0604020202020204" pitchFamily="34" charset="0"/>
            </a:rPr>
          </a:br>
          <a:r>
            <a:rPr lang="en-US" sz="1000" b="1" i="1">
              <a:solidFill>
                <a:srgbClr val="002060"/>
              </a:solidFill>
              <a:effectLst/>
              <a:latin typeface="+mn-lt"/>
              <a:ea typeface="+mn-ea"/>
              <a:cs typeface="+mn-cs"/>
            </a:rPr>
            <a:t>(in millions)</a:t>
          </a:r>
          <a:endParaRPr lang="en-US" sz="1000">
            <a:solidFill>
              <a:srgbClr val="002060"/>
            </a:solidFill>
            <a:effectLst/>
          </a:endParaRPr>
        </a:p>
        <a:p>
          <a:pPr algn="l"/>
          <a:endParaRPr lang="en-US" sz="1800" b="1" i="0">
            <a:ln>
              <a:noFill/>
            </a:ln>
            <a:solidFill>
              <a:srgbClr val="002060"/>
            </a:solidFill>
            <a:latin typeface="+mn-lt"/>
            <a:cs typeface="Arial" panose="020B0604020202020204" pitchFamily="34" charset="0"/>
          </a:endParaRPr>
        </a:p>
      </xdr:txBody>
    </xdr:sp>
    <xdr:clientData/>
  </xdr:twoCellAnchor>
  <xdr:twoCellAnchor>
    <xdr:from>
      <xdr:col>3</xdr:col>
      <xdr:colOff>123265</xdr:colOff>
      <xdr:row>5</xdr:row>
      <xdr:rowOff>128896</xdr:rowOff>
    </xdr:from>
    <xdr:to>
      <xdr:col>8</xdr:col>
      <xdr:colOff>448235</xdr:colOff>
      <xdr:row>18</xdr:row>
      <xdr:rowOff>67235</xdr:rowOff>
    </xdr:to>
    <xdr:sp macro="" textlink="">
      <xdr:nvSpPr>
        <xdr:cNvPr id="32" name="Rounded Rectangle 31"/>
        <xdr:cNvSpPr/>
      </xdr:nvSpPr>
      <xdr:spPr>
        <a:xfrm>
          <a:off x="1333500" y="1159837"/>
          <a:ext cx="3597088" cy="2414839"/>
        </a:xfrm>
        <a:prstGeom prst="roundRect">
          <a:avLst>
            <a:gd name="adj" fmla="val 3723"/>
          </a:avLst>
        </a:prstGeom>
        <a:solidFill>
          <a:sysClr val="window" lastClr="FFFFFF"/>
        </a:solidFill>
        <a:ln>
          <a:solidFill>
            <a:schemeClr val="bg1"/>
          </a:solid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i="0">
              <a:ln>
                <a:noFill/>
              </a:ln>
              <a:solidFill>
                <a:schemeClr val="accent5">
                  <a:lumMod val="50000"/>
                </a:schemeClr>
              </a:solidFill>
              <a:latin typeface="+mn-lt"/>
              <a:cs typeface="Arial" panose="020B0604020202020204" pitchFamily="34" charset="0"/>
            </a:rPr>
            <a:t>Year to Date Revenue </a:t>
          </a:r>
          <a:br>
            <a:rPr lang="en-US" sz="1800" b="1" i="0">
              <a:ln>
                <a:noFill/>
              </a:ln>
              <a:solidFill>
                <a:schemeClr val="accent5">
                  <a:lumMod val="50000"/>
                </a:schemeClr>
              </a:solidFill>
              <a:latin typeface="+mn-lt"/>
              <a:cs typeface="Arial" panose="020B0604020202020204" pitchFamily="34" charset="0"/>
            </a:rPr>
          </a:br>
          <a:r>
            <a:rPr lang="en-US" sz="1000" b="1" i="1">
              <a:ln>
                <a:noFill/>
              </a:ln>
              <a:solidFill>
                <a:schemeClr val="accent5">
                  <a:lumMod val="50000"/>
                </a:schemeClr>
              </a:solidFill>
              <a:latin typeface="+mn-lt"/>
              <a:cs typeface="Arial" panose="020B0604020202020204" pitchFamily="34" charset="0"/>
            </a:rPr>
            <a:t>(in millions)</a:t>
          </a:r>
          <a:endParaRPr lang="en-US" sz="1800" b="1" i="1">
            <a:ln>
              <a:noFill/>
            </a:ln>
            <a:solidFill>
              <a:schemeClr val="accent5">
                <a:lumMod val="50000"/>
              </a:schemeClr>
            </a:solidFill>
            <a:latin typeface="+mn-lt"/>
            <a:cs typeface="Arial" panose="020B0604020202020204" pitchFamily="34" charset="0"/>
          </a:endParaRPr>
        </a:p>
      </xdr:txBody>
    </xdr:sp>
    <xdr:clientData/>
  </xdr:twoCellAnchor>
  <xdr:twoCellAnchor>
    <xdr:from>
      <xdr:col>8</xdr:col>
      <xdr:colOff>593912</xdr:colOff>
      <xdr:row>5</xdr:row>
      <xdr:rowOff>128896</xdr:rowOff>
    </xdr:from>
    <xdr:to>
      <xdr:col>14</xdr:col>
      <xdr:colOff>560294</xdr:colOff>
      <xdr:row>18</xdr:row>
      <xdr:rowOff>67235</xdr:rowOff>
    </xdr:to>
    <xdr:sp macro="" textlink="">
      <xdr:nvSpPr>
        <xdr:cNvPr id="33" name="Rounded Rectangle 32"/>
        <xdr:cNvSpPr/>
      </xdr:nvSpPr>
      <xdr:spPr>
        <a:xfrm>
          <a:off x="5076265" y="1159837"/>
          <a:ext cx="3597088" cy="2414839"/>
        </a:xfrm>
        <a:prstGeom prst="roundRect">
          <a:avLst>
            <a:gd name="adj" fmla="val 3723"/>
          </a:avLst>
        </a:prstGeom>
        <a:solidFill>
          <a:sysClr val="window" lastClr="FFFFFF"/>
        </a:solidFill>
        <a:ln>
          <a:solidFill>
            <a:schemeClr val="bg1"/>
          </a:solid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sz="1800" b="1" i="0">
              <a:ln>
                <a:noFill/>
              </a:ln>
              <a:solidFill>
                <a:schemeClr val="accent5">
                  <a:lumMod val="50000"/>
                </a:schemeClr>
              </a:solidFill>
              <a:latin typeface="+mn-lt"/>
              <a:cs typeface="Arial" panose="020B0604020202020204" pitchFamily="34" charset="0"/>
            </a:rPr>
            <a:t>Year</a:t>
          </a:r>
          <a:r>
            <a:rPr lang="en-US" sz="1800" b="1" i="0" baseline="0">
              <a:ln>
                <a:noFill/>
              </a:ln>
              <a:solidFill>
                <a:schemeClr val="accent5">
                  <a:lumMod val="50000"/>
                </a:schemeClr>
              </a:solidFill>
              <a:latin typeface="+mn-lt"/>
              <a:cs typeface="Arial" panose="020B0604020202020204" pitchFamily="34" charset="0"/>
            </a:rPr>
            <a:t> to Date </a:t>
          </a:r>
          <a:r>
            <a:rPr lang="en-US" sz="1800" b="1" i="0">
              <a:ln>
                <a:noFill/>
              </a:ln>
              <a:solidFill>
                <a:schemeClr val="accent5">
                  <a:lumMod val="50000"/>
                </a:schemeClr>
              </a:solidFill>
              <a:latin typeface="+mn-lt"/>
              <a:cs typeface="Arial" panose="020B0604020202020204" pitchFamily="34" charset="0"/>
            </a:rPr>
            <a:t>Operating Expenses</a:t>
          </a:r>
          <a:br>
            <a:rPr lang="en-US" sz="1800" b="1" i="0">
              <a:ln>
                <a:noFill/>
              </a:ln>
              <a:solidFill>
                <a:schemeClr val="accent5">
                  <a:lumMod val="50000"/>
                </a:schemeClr>
              </a:solidFill>
              <a:latin typeface="+mn-lt"/>
              <a:cs typeface="Arial" panose="020B0604020202020204" pitchFamily="34" charset="0"/>
            </a:rPr>
          </a:br>
          <a:r>
            <a:rPr lang="en-US" sz="1000" b="1" i="1">
              <a:solidFill>
                <a:srgbClr val="002060"/>
              </a:solidFill>
              <a:effectLst/>
              <a:latin typeface="+mn-lt"/>
              <a:ea typeface="+mn-ea"/>
              <a:cs typeface="+mn-cs"/>
            </a:rPr>
            <a:t>(in millions)</a:t>
          </a:r>
          <a:endParaRPr lang="en-US" sz="1400">
            <a:solidFill>
              <a:srgbClr val="002060"/>
            </a:solidFill>
            <a:effectLst/>
          </a:endParaRPr>
        </a:p>
        <a:p>
          <a:pPr algn="l"/>
          <a:endParaRPr lang="en-US" sz="1800" b="1" i="0">
            <a:ln>
              <a:noFill/>
            </a:ln>
            <a:solidFill>
              <a:schemeClr val="accent5">
                <a:lumMod val="50000"/>
              </a:schemeClr>
            </a:solidFill>
            <a:latin typeface="+mn-lt"/>
            <a:cs typeface="Arial" panose="020B0604020202020204" pitchFamily="34" charset="0"/>
          </a:endParaRPr>
        </a:p>
      </xdr:txBody>
    </xdr:sp>
    <xdr:clientData/>
  </xdr:twoCellAnchor>
  <xdr:twoCellAnchor>
    <xdr:from>
      <xdr:col>15</xdr:col>
      <xdr:colOff>112060</xdr:colOff>
      <xdr:row>19</xdr:row>
      <xdr:rowOff>16837</xdr:rowOff>
    </xdr:from>
    <xdr:to>
      <xdr:col>21</xdr:col>
      <xdr:colOff>78442</xdr:colOff>
      <xdr:row>31</xdr:row>
      <xdr:rowOff>145676</xdr:rowOff>
    </xdr:to>
    <xdr:sp macro="" textlink="">
      <xdr:nvSpPr>
        <xdr:cNvPr id="34" name="Rounded Rectangle 33"/>
        <xdr:cNvSpPr/>
      </xdr:nvSpPr>
      <xdr:spPr>
        <a:xfrm>
          <a:off x="8830236" y="3714778"/>
          <a:ext cx="3597088" cy="2414839"/>
        </a:xfrm>
        <a:prstGeom prst="roundRect">
          <a:avLst>
            <a:gd name="adj" fmla="val 3723"/>
          </a:avLst>
        </a:prstGeom>
        <a:solidFill>
          <a:sysClr val="window" lastClr="FFFFFF"/>
        </a:solidFill>
        <a:ln>
          <a:solidFill>
            <a:schemeClr val="bg1"/>
          </a:solid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i="0">
              <a:ln>
                <a:noFill/>
              </a:ln>
              <a:solidFill>
                <a:srgbClr val="002060"/>
              </a:solidFill>
              <a:latin typeface="+mn-lt"/>
              <a:cs typeface="Arial" panose="020B0604020202020204" pitchFamily="34" charset="0"/>
            </a:rPr>
            <a:t>Average Customer Feedback Score</a:t>
          </a:r>
        </a:p>
        <a:p>
          <a:pPr marL="0" marR="0" lvl="0" indent="0" algn="l" defTabSz="914400" eaLnBrk="1" fontAlgn="auto" latinLnBrk="0" hangingPunct="1">
            <a:lnSpc>
              <a:spcPct val="100000"/>
            </a:lnSpc>
            <a:spcBef>
              <a:spcPts val="0"/>
            </a:spcBef>
            <a:spcAft>
              <a:spcPts val="0"/>
            </a:spcAft>
            <a:buClrTx/>
            <a:buSzTx/>
            <a:buFontTx/>
            <a:buNone/>
            <a:tabLst/>
            <a:defRPr/>
          </a:pPr>
          <a:r>
            <a:rPr lang="en-US" sz="1000" b="1" i="1">
              <a:solidFill>
                <a:srgbClr val="002060"/>
              </a:solidFill>
              <a:effectLst/>
              <a:latin typeface="+mn-lt"/>
              <a:ea typeface="+mn-ea"/>
              <a:cs typeface="+mn-cs"/>
            </a:rPr>
            <a:t>(YTD %)</a:t>
          </a:r>
          <a:endParaRPr lang="en-US" sz="1000">
            <a:solidFill>
              <a:srgbClr val="002060"/>
            </a:solidFill>
            <a:effectLst/>
          </a:endParaRPr>
        </a:p>
        <a:p>
          <a:pPr algn="l"/>
          <a:r>
            <a:rPr lang="en-US" sz="1800" b="1" i="0">
              <a:ln>
                <a:noFill/>
              </a:ln>
              <a:solidFill>
                <a:srgbClr val="002060"/>
              </a:solidFill>
              <a:latin typeface="+mn-lt"/>
              <a:cs typeface="Arial" panose="020B0604020202020204" pitchFamily="34" charset="0"/>
            </a:rPr>
            <a:t> </a:t>
          </a:r>
        </a:p>
      </xdr:txBody>
    </xdr:sp>
    <xdr:clientData/>
  </xdr:twoCellAnchor>
  <xdr:twoCellAnchor>
    <xdr:from>
      <xdr:col>3</xdr:col>
      <xdr:colOff>123265</xdr:colOff>
      <xdr:row>19</xdr:row>
      <xdr:rowOff>5631</xdr:rowOff>
    </xdr:from>
    <xdr:to>
      <xdr:col>8</xdr:col>
      <xdr:colOff>448235</xdr:colOff>
      <xdr:row>31</xdr:row>
      <xdr:rowOff>134470</xdr:rowOff>
    </xdr:to>
    <xdr:sp macro="" textlink="">
      <xdr:nvSpPr>
        <xdr:cNvPr id="35" name="Rounded Rectangle 34"/>
        <xdr:cNvSpPr/>
      </xdr:nvSpPr>
      <xdr:spPr>
        <a:xfrm>
          <a:off x="1333500" y="3703572"/>
          <a:ext cx="3597088" cy="2414839"/>
        </a:xfrm>
        <a:prstGeom prst="roundRect">
          <a:avLst>
            <a:gd name="adj" fmla="val 3723"/>
          </a:avLst>
        </a:prstGeom>
        <a:solidFill>
          <a:sysClr val="window" lastClr="FFFFFF"/>
        </a:solidFill>
        <a:ln>
          <a:solidFill>
            <a:schemeClr val="bg1"/>
          </a:solid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i="0">
              <a:ln>
                <a:noFill/>
              </a:ln>
              <a:solidFill>
                <a:srgbClr val="002060"/>
              </a:solidFill>
              <a:latin typeface="+mn-lt"/>
              <a:cs typeface="Arial" panose="020B0604020202020204" pitchFamily="34" charset="0"/>
            </a:rPr>
            <a:t>Average Profit Margin</a:t>
          </a:r>
        </a:p>
        <a:p>
          <a:r>
            <a:rPr lang="en-US" sz="1000" b="1" i="1">
              <a:solidFill>
                <a:srgbClr val="002060"/>
              </a:solidFill>
              <a:effectLst/>
              <a:latin typeface="+mn-lt"/>
              <a:ea typeface="+mn-ea"/>
              <a:cs typeface="+mn-cs"/>
            </a:rPr>
            <a:t>(YTD %)</a:t>
          </a:r>
          <a:endParaRPr lang="en-US" sz="1000">
            <a:solidFill>
              <a:srgbClr val="002060"/>
            </a:solidFill>
            <a:effectLst/>
          </a:endParaRPr>
        </a:p>
        <a:p>
          <a:pPr algn="l"/>
          <a:endParaRPr lang="en-US" sz="1800" b="1" i="0">
            <a:ln>
              <a:noFill/>
            </a:ln>
            <a:solidFill>
              <a:srgbClr val="002060"/>
            </a:solidFill>
            <a:latin typeface="+mn-lt"/>
            <a:cs typeface="Arial" panose="020B0604020202020204" pitchFamily="34" charset="0"/>
          </a:endParaRPr>
        </a:p>
      </xdr:txBody>
    </xdr:sp>
    <xdr:clientData/>
  </xdr:twoCellAnchor>
  <xdr:twoCellAnchor>
    <xdr:from>
      <xdr:col>8</xdr:col>
      <xdr:colOff>593912</xdr:colOff>
      <xdr:row>19</xdr:row>
      <xdr:rowOff>5631</xdr:rowOff>
    </xdr:from>
    <xdr:to>
      <xdr:col>14</xdr:col>
      <xdr:colOff>560294</xdr:colOff>
      <xdr:row>31</xdr:row>
      <xdr:rowOff>134470</xdr:rowOff>
    </xdr:to>
    <xdr:sp macro="" textlink="">
      <xdr:nvSpPr>
        <xdr:cNvPr id="36" name="Rounded Rectangle 35"/>
        <xdr:cNvSpPr/>
      </xdr:nvSpPr>
      <xdr:spPr>
        <a:xfrm>
          <a:off x="5076265" y="3703572"/>
          <a:ext cx="3597088" cy="2414839"/>
        </a:xfrm>
        <a:prstGeom prst="roundRect">
          <a:avLst>
            <a:gd name="adj" fmla="val 3723"/>
          </a:avLst>
        </a:prstGeom>
        <a:solidFill>
          <a:sysClr val="window" lastClr="FFFFFF"/>
        </a:solidFill>
        <a:ln>
          <a:solidFill>
            <a:schemeClr val="bg1"/>
          </a:solid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i="0">
              <a:ln>
                <a:noFill/>
              </a:ln>
              <a:solidFill>
                <a:srgbClr val="002060"/>
              </a:solidFill>
              <a:latin typeface="+mn-lt"/>
              <a:cs typeface="Arial" panose="020B0604020202020204" pitchFamily="34" charset="0"/>
            </a:rPr>
            <a:t>Average On-time Delivery</a:t>
          </a:r>
        </a:p>
        <a:p>
          <a:pPr algn="l"/>
          <a:r>
            <a:rPr lang="en-US" sz="1000" b="1" i="1">
              <a:solidFill>
                <a:srgbClr val="002060"/>
              </a:solidFill>
              <a:effectLst/>
              <a:latin typeface="+mn-lt"/>
              <a:ea typeface="+mn-ea"/>
              <a:cs typeface="+mn-cs"/>
            </a:rPr>
            <a:t>(YTD %)</a:t>
          </a:r>
          <a:endParaRPr lang="en-US" sz="1000" b="1" i="1">
            <a:ln>
              <a:noFill/>
            </a:ln>
            <a:solidFill>
              <a:srgbClr val="002060"/>
            </a:solidFill>
            <a:latin typeface="+mn-lt"/>
            <a:cs typeface="Arial" panose="020B0604020202020204" pitchFamily="34" charset="0"/>
          </a:endParaRPr>
        </a:p>
        <a:p>
          <a:pPr algn="l"/>
          <a:endParaRPr lang="en-US" sz="1800" b="1" i="0">
            <a:ln>
              <a:noFill/>
            </a:ln>
            <a:solidFill>
              <a:srgbClr val="002060"/>
            </a:solidFill>
            <a:latin typeface="+mn-lt"/>
            <a:cs typeface="Arial" panose="020B0604020202020204" pitchFamily="34" charset="0"/>
          </a:endParaRPr>
        </a:p>
      </xdr:txBody>
    </xdr:sp>
    <xdr:clientData/>
  </xdr:twoCellAnchor>
  <xdr:twoCellAnchor>
    <xdr:from>
      <xdr:col>3</xdr:col>
      <xdr:colOff>137583</xdr:colOff>
      <xdr:row>8</xdr:row>
      <xdr:rowOff>9525</xdr:rowOff>
    </xdr:from>
    <xdr:to>
      <xdr:col>8</xdr:col>
      <xdr:colOff>423333</xdr:colOff>
      <xdr:row>18</xdr:row>
      <xdr:rowOff>42333</xdr:rowOff>
    </xdr:to>
    <xdr:graphicFrame macro="">
      <xdr:nvGraphicFramePr>
        <xdr:cNvPr id="37" name="Chart 3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9</xdr:col>
      <xdr:colOff>19050</xdr:colOff>
      <xdr:row>8</xdr:row>
      <xdr:rowOff>85725</xdr:rowOff>
    </xdr:from>
    <xdr:to>
      <xdr:col>14</xdr:col>
      <xdr:colOff>518582</xdr:colOff>
      <xdr:row>18</xdr:row>
      <xdr:rowOff>21167</xdr:rowOff>
    </xdr:to>
    <xdr:graphicFrame macro="">
      <xdr:nvGraphicFramePr>
        <xdr:cNvPr id="38" name="Chart 3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15</xdr:col>
      <xdr:colOff>179917</xdr:colOff>
      <xdr:row>7</xdr:row>
      <xdr:rowOff>158750</xdr:rowOff>
    </xdr:from>
    <xdr:to>
      <xdr:col>20</xdr:col>
      <xdr:colOff>560916</xdr:colOff>
      <xdr:row>18</xdr:row>
      <xdr:rowOff>74084</xdr:rowOff>
    </xdr:to>
    <xdr:graphicFrame macro="">
      <xdr:nvGraphicFramePr>
        <xdr:cNvPr id="39" name="Chart 3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3</xdr:col>
      <xdr:colOff>105833</xdr:colOff>
      <xdr:row>21</xdr:row>
      <xdr:rowOff>84667</xdr:rowOff>
    </xdr:from>
    <xdr:to>
      <xdr:col>8</xdr:col>
      <xdr:colOff>306916</xdr:colOff>
      <xdr:row>30</xdr:row>
      <xdr:rowOff>179917</xdr:rowOff>
    </xdr:to>
    <xdr:graphicFrame macro="">
      <xdr:nvGraphicFramePr>
        <xdr:cNvPr id="40" name="Chart 3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9</xdr:col>
      <xdr:colOff>67235</xdr:colOff>
      <xdr:row>21</xdr:row>
      <xdr:rowOff>190499</xdr:rowOff>
    </xdr:from>
    <xdr:to>
      <xdr:col>14</xdr:col>
      <xdr:colOff>518272</xdr:colOff>
      <xdr:row>29</xdr:row>
      <xdr:rowOff>14318</xdr:rowOff>
    </xdr:to>
    <xdr:sp macro="" textlink="'Pivot Tables 2'!A23">
      <xdr:nvSpPr>
        <xdr:cNvPr id="18" name="TextBox 17"/>
        <xdr:cNvSpPr txBox="1"/>
      </xdr:nvSpPr>
      <xdr:spPr>
        <a:xfrm>
          <a:off x="5423647" y="4269440"/>
          <a:ext cx="3476625" cy="134781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6FAB6C9-ED22-4638-B4DB-3154CD143B84}" type="TxLink">
            <a:rPr lang="en-US" sz="8000" b="1" i="1" u="none" strike="noStrike">
              <a:solidFill>
                <a:srgbClr val="960000"/>
              </a:solidFill>
              <a:latin typeface="Calibri"/>
              <a:cs typeface="Calibri"/>
            </a:rPr>
            <a:pPr algn="ctr"/>
            <a:t>95.74%</a:t>
          </a:fld>
          <a:endParaRPr lang="en-US" sz="8000" b="1" i="1">
            <a:solidFill>
              <a:srgbClr val="960000"/>
            </a:solidFill>
          </a:endParaRPr>
        </a:p>
      </xdr:txBody>
    </xdr:sp>
    <xdr:clientData/>
  </xdr:twoCellAnchor>
  <xdr:twoCellAnchor>
    <xdr:from>
      <xdr:col>15</xdr:col>
      <xdr:colOff>190501</xdr:colOff>
      <xdr:row>21</xdr:row>
      <xdr:rowOff>168088</xdr:rowOff>
    </xdr:from>
    <xdr:to>
      <xdr:col>20</xdr:col>
      <xdr:colOff>593912</xdr:colOff>
      <xdr:row>31</xdr:row>
      <xdr:rowOff>33617</xdr:rowOff>
    </xdr:to>
    <xdr:graphicFrame macro="">
      <xdr:nvGraphicFramePr>
        <xdr:cNvPr id="41" name="Chart 4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180975</xdr:rowOff>
    </xdr:from>
    <xdr:to>
      <xdr:col>2</xdr:col>
      <xdr:colOff>212287</xdr:colOff>
      <xdr:row>1</xdr:row>
      <xdr:rowOff>183374</xdr:rowOff>
    </xdr:to>
    <xdr:pic>
      <xdr:nvPicPr>
        <xdr:cNvPr id="4" name="Picture 3"/>
        <xdr:cNvPicPr>
          <a:picLocks noChangeAspect="1"/>
        </xdr:cNvPicPr>
      </xdr:nvPicPr>
      <xdr:blipFill rotWithShape="1">
        <a:blip xmlns:r="http://schemas.openxmlformats.org/officeDocument/2006/relationships" r:embed="rId1"/>
        <a:srcRect l="10057" r="9813"/>
        <a:stretch/>
      </xdr:blipFill>
      <xdr:spPr>
        <a:xfrm>
          <a:off x="82364" y="180975"/>
          <a:ext cx="1053662" cy="269099"/>
        </a:xfrm>
        <a:prstGeom prst="rect">
          <a:avLst/>
        </a:prstGeom>
        <a:effectLst>
          <a:outerShdw blurRad="50800" dist="38100" dir="5400000" algn="t" rotWithShape="0">
            <a:prstClr val="black">
              <a:alpha val="40000"/>
            </a:prstClr>
          </a:outerShdw>
          <a:reflection blurRad="6350" stA="50000" endA="300" endPos="38500" dist="50800" dir="5400000" sy="-100000" algn="bl" rotWithShape="0"/>
        </a:effectLst>
      </xdr:spPr>
    </xdr:pic>
    <xdr:clientData/>
  </xdr:twoCellAnchor>
  <xdr:twoCellAnchor>
    <xdr:from>
      <xdr:col>2</xdr:col>
      <xdr:colOff>323850</xdr:colOff>
      <xdr:row>0</xdr:row>
      <xdr:rowOff>55552</xdr:rowOff>
    </xdr:from>
    <xdr:to>
      <xdr:col>6</xdr:col>
      <xdr:colOff>66675</xdr:colOff>
      <xdr:row>2</xdr:row>
      <xdr:rowOff>150329</xdr:rowOff>
    </xdr:to>
    <xdr:sp macro="" textlink="">
      <xdr:nvSpPr>
        <xdr:cNvPr id="5" name="Rounded Rectangle 4"/>
        <xdr:cNvSpPr/>
      </xdr:nvSpPr>
      <xdr:spPr>
        <a:xfrm>
          <a:off x="1133475" y="55552"/>
          <a:ext cx="4010025" cy="551977"/>
        </a:xfrm>
        <a:prstGeom prst="roundRect">
          <a:avLst>
            <a:gd name="adj" fmla="val 9743"/>
          </a:avLst>
        </a:prstGeom>
        <a:solidFill>
          <a:sysClr val="window" lastClr="FFFFFF"/>
        </a:solidFill>
        <a:ln>
          <a:solidFill>
            <a:schemeClr val="bg1"/>
          </a:solid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a:solidFill>
                <a:schemeClr val="accent5">
                  <a:lumMod val="50000"/>
                </a:schemeClr>
              </a:solidFill>
              <a:latin typeface="+mn-lt"/>
              <a:cs typeface="Arial" panose="020B0604020202020204" pitchFamily="34" charset="0"/>
            </a:rPr>
            <a:t>Manufacturing Plant Dashboard (2020-2024)</a:t>
          </a:r>
        </a:p>
      </xdr:txBody>
    </xdr:sp>
    <xdr:clientData/>
  </xdr:twoCellAnchor>
  <xdr:twoCellAnchor editAs="oneCell">
    <xdr:from>
      <xdr:col>6</xdr:col>
      <xdr:colOff>311300</xdr:colOff>
      <xdr:row>0</xdr:row>
      <xdr:rowOff>83609</xdr:rowOff>
    </xdr:from>
    <xdr:to>
      <xdr:col>6</xdr:col>
      <xdr:colOff>811741</xdr:colOff>
      <xdr:row>2</xdr:row>
      <xdr:rowOff>140759</xdr:rowOff>
    </xdr:to>
    <xdr:pic>
      <xdr:nvPicPr>
        <xdr:cNvPr id="8" name="Picture 7">
          <a:hlinkClick xmlns:r="http://schemas.openxmlformats.org/officeDocument/2006/relationships" r:id="rId2"/>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380717" y="83609"/>
          <a:ext cx="500441" cy="512233"/>
        </a:xfrm>
        <a:prstGeom prst="rect">
          <a:avLst/>
        </a:prstGeom>
      </xdr:spPr>
    </xdr:pic>
    <xdr:clientData/>
  </xdr:twoCellAnchor>
  <xdr:twoCellAnchor editAs="oneCell">
    <xdr:from>
      <xdr:col>7</xdr:col>
      <xdr:colOff>383766</xdr:colOff>
      <xdr:row>0</xdr:row>
      <xdr:rowOff>16933</xdr:rowOff>
    </xdr:from>
    <xdr:to>
      <xdr:col>7</xdr:col>
      <xdr:colOff>935282</xdr:colOff>
      <xdr:row>2</xdr:row>
      <xdr:rowOff>130244</xdr:rowOff>
    </xdr:to>
    <xdr:pic>
      <xdr:nvPicPr>
        <xdr:cNvPr id="9" name="Picture 8">
          <a:hlinkClick xmlns:r="http://schemas.openxmlformats.org/officeDocument/2006/relationships" r:id="rId4"/>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6458599" y="16933"/>
          <a:ext cx="551516" cy="568394"/>
        </a:xfrm>
        <a:prstGeom prst="rect">
          <a:avLst/>
        </a:prstGeom>
      </xdr:spPr>
    </xdr:pic>
    <xdr:clientData/>
  </xdr:twoCellAnchor>
  <xdr:twoCellAnchor editAs="oneCell">
    <xdr:from>
      <xdr:col>8</xdr:col>
      <xdr:colOff>63189</xdr:colOff>
      <xdr:row>0</xdr:row>
      <xdr:rowOff>56092</xdr:rowOff>
    </xdr:from>
    <xdr:to>
      <xdr:col>9</xdr:col>
      <xdr:colOff>28006</xdr:colOff>
      <xdr:row>2</xdr:row>
      <xdr:rowOff>163979</xdr:rowOff>
    </xdr:to>
    <xdr:pic>
      <xdr:nvPicPr>
        <xdr:cNvPr id="10" name="Picture 9">
          <a:hlinkClick xmlns:r="http://schemas.openxmlformats.org/officeDocument/2006/relationships" r:id="rId6"/>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450356" y="56092"/>
          <a:ext cx="779734" cy="56297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180975</xdr:rowOff>
    </xdr:from>
    <xdr:to>
      <xdr:col>1</xdr:col>
      <xdr:colOff>160803</xdr:colOff>
      <xdr:row>1</xdr:row>
      <xdr:rowOff>183374</xdr:rowOff>
    </xdr:to>
    <xdr:pic>
      <xdr:nvPicPr>
        <xdr:cNvPr id="4" name="Picture 3"/>
        <xdr:cNvPicPr>
          <a:picLocks noChangeAspect="1"/>
        </xdr:cNvPicPr>
      </xdr:nvPicPr>
      <xdr:blipFill rotWithShape="1">
        <a:blip xmlns:r="http://schemas.openxmlformats.org/officeDocument/2006/relationships" r:embed="rId1"/>
        <a:srcRect l="10057" r="9813"/>
        <a:stretch/>
      </xdr:blipFill>
      <xdr:spPr>
        <a:xfrm>
          <a:off x="82364" y="180975"/>
          <a:ext cx="1053662" cy="269099"/>
        </a:xfrm>
        <a:prstGeom prst="rect">
          <a:avLst/>
        </a:prstGeom>
        <a:effectLst>
          <a:outerShdw blurRad="50800" dist="38100" dir="5400000" algn="t" rotWithShape="0">
            <a:prstClr val="black">
              <a:alpha val="40000"/>
            </a:prstClr>
          </a:outerShdw>
          <a:reflection blurRad="6350" stA="50000" endA="300" endPos="38500" dist="50800" dir="5400000" sy="-100000" algn="bl" rotWithShape="0"/>
        </a:effectLst>
      </xdr:spPr>
    </xdr:pic>
    <xdr:clientData/>
  </xdr:twoCellAnchor>
  <xdr:twoCellAnchor>
    <xdr:from>
      <xdr:col>1</xdr:col>
      <xdr:colOff>381001</xdr:colOff>
      <xdr:row>0</xdr:row>
      <xdr:rowOff>34821</xdr:rowOff>
    </xdr:from>
    <xdr:to>
      <xdr:col>3</xdr:col>
      <xdr:colOff>694765</xdr:colOff>
      <xdr:row>2</xdr:row>
      <xdr:rowOff>129598</xdr:rowOff>
    </xdr:to>
    <xdr:sp macro="" textlink="">
      <xdr:nvSpPr>
        <xdr:cNvPr id="5" name="Rounded Rectangle 4"/>
        <xdr:cNvSpPr/>
      </xdr:nvSpPr>
      <xdr:spPr>
        <a:xfrm>
          <a:off x="1131795" y="34821"/>
          <a:ext cx="4045323" cy="554218"/>
        </a:xfrm>
        <a:prstGeom prst="roundRect">
          <a:avLst>
            <a:gd name="adj" fmla="val 9743"/>
          </a:avLst>
        </a:prstGeom>
        <a:solidFill>
          <a:sysClr val="window" lastClr="FFFFFF"/>
        </a:solidFill>
        <a:ln>
          <a:solidFill>
            <a:schemeClr val="bg1"/>
          </a:solid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accent5">
                  <a:lumMod val="50000"/>
                </a:schemeClr>
              </a:solidFill>
              <a:latin typeface="+mn-lt"/>
              <a:cs typeface="Arial" panose="020B0604020202020204" pitchFamily="34" charset="0"/>
            </a:rPr>
            <a:t>Manufacturing Plant Dashboard (2020-2024)</a:t>
          </a:r>
        </a:p>
      </xdr:txBody>
    </xdr:sp>
    <xdr:clientData/>
  </xdr:twoCellAnchor>
  <xdr:twoCellAnchor editAs="oneCell">
    <xdr:from>
      <xdr:col>4</xdr:col>
      <xdr:colOff>243417</xdr:colOff>
      <xdr:row>0</xdr:row>
      <xdr:rowOff>66676</xdr:rowOff>
    </xdr:from>
    <xdr:to>
      <xdr:col>4</xdr:col>
      <xdr:colOff>743858</xdr:colOff>
      <xdr:row>2</xdr:row>
      <xdr:rowOff>123826</xdr:rowOff>
    </xdr:to>
    <xdr:pic>
      <xdr:nvPicPr>
        <xdr:cNvPr id="11" name="Picture 10">
          <a:hlinkClick xmlns:r="http://schemas.openxmlformats.org/officeDocument/2006/relationships" r:id="rId2"/>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588000" y="66676"/>
          <a:ext cx="500441" cy="512233"/>
        </a:xfrm>
        <a:prstGeom prst="rect">
          <a:avLst/>
        </a:prstGeom>
      </xdr:spPr>
    </xdr:pic>
    <xdr:clientData/>
  </xdr:twoCellAnchor>
  <xdr:twoCellAnchor editAs="oneCell">
    <xdr:from>
      <xdr:col>5</xdr:col>
      <xdr:colOff>569882</xdr:colOff>
      <xdr:row>0</xdr:row>
      <xdr:rowOff>0</xdr:rowOff>
    </xdr:from>
    <xdr:to>
      <xdr:col>5</xdr:col>
      <xdr:colOff>1121398</xdr:colOff>
      <xdr:row>2</xdr:row>
      <xdr:rowOff>113311</xdr:rowOff>
    </xdr:to>
    <xdr:pic>
      <xdr:nvPicPr>
        <xdr:cNvPr id="12" name="Picture 11">
          <a:hlinkClick xmlns:r="http://schemas.openxmlformats.org/officeDocument/2006/relationships" r:id="rId4"/>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6665882" y="0"/>
          <a:ext cx="551516" cy="568394"/>
        </a:xfrm>
        <a:prstGeom prst="rect">
          <a:avLst/>
        </a:prstGeom>
      </xdr:spPr>
    </xdr:pic>
    <xdr:clientData/>
  </xdr:twoCellAnchor>
  <xdr:twoCellAnchor editAs="oneCell">
    <xdr:from>
      <xdr:col>5</xdr:col>
      <xdr:colOff>1561639</xdr:colOff>
      <xdr:row>0</xdr:row>
      <xdr:rowOff>39159</xdr:rowOff>
    </xdr:from>
    <xdr:to>
      <xdr:col>6</xdr:col>
      <xdr:colOff>531623</xdr:colOff>
      <xdr:row>2</xdr:row>
      <xdr:rowOff>147046</xdr:rowOff>
    </xdr:to>
    <xdr:pic>
      <xdr:nvPicPr>
        <xdr:cNvPr id="13" name="Picture 12">
          <a:hlinkClick xmlns:r="http://schemas.openxmlformats.org/officeDocument/2006/relationships" r:id="rId6"/>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657639" y="39159"/>
          <a:ext cx="779734" cy="56297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180975</xdr:rowOff>
    </xdr:from>
    <xdr:to>
      <xdr:col>0</xdr:col>
      <xdr:colOff>1050198</xdr:colOff>
      <xdr:row>1</xdr:row>
      <xdr:rowOff>183374</xdr:rowOff>
    </xdr:to>
    <xdr:pic>
      <xdr:nvPicPr>
        <xdr:cNvPr id="2" name="Picture 1"/>
        <xdr:cNvPicPr>
          <a:picLocks noChangeAspect="1"/>
        </xdr:cNvPicPr>
      </xdr:nvPicPr>
      <xdr:blipFill rotWithShape="1">
        <a:blip xmlns:r="http://schemas.openxmlformats.org/officeDocument/2006/relationships" r:embed="rId1"/>
        <a:srcRect l="10057" r="9813"/>
        <a:stretch/>
      </xdr:blipFill>
      <xdr:spPr>
        <a:xfrm>
          <a:off x="82364" y="180975"/>
          <a:ext cx="1053662" cy="269099"/>
        </a:xfrm>
        <a:prstGeom prst="rect">
          <a:avLst/>
        </a:prstGeom>
        <a:effectLst>
          <a:outerShdw blurRad="50800" dist="38100" dir="5400000" algn="t" rotWithShape="0">
            <a:prstClr val="black">
              <a:alpha val="40000"/>
            </a:prstClr>
          </a:outerShdw>
          <a:reflection blurRad="6350" stA="50000" endA="300" endPos="38500" dist="50800" dir="5400000" sy="-100000" algn="bl" rotWithShape="0"/>
        </a:effectLst>
      </xdr:spPr>
    </xdr:pic>
    <xdr:clientData/>
  </xdr:twoCellAnchor>
  <xdr:twoCellAnchor>
    <xdr:from>
      <xdr:col>0</xdr:col>
      <xdr:colOff>1108364</xdr:colOff>
      <xdr:row>0</xdr:row>
      <xdr:rowOff>54686</xdr:rowOff>
    </xdr:from>
    <xdr:to>
      <xdr:col>3</xdr:col>
      <xdr:colOff>346364</xdr:colOff>
      <xdr:row>2</xdr:row>
      <xdr:rowOff>149463</xdr:rowOff>
    </xdr:to>
    <xdr:sp macro="" textlink="">
      <xdr:nvSpPr>
        <xdr:cNvPr id="3" name="Rounded Rectangle 2"/>
        <xdr:cNvSpPr/>
      </xdr:nvSpPr>
      <xdr:spPr>
        <a:xfrm>
          <a:off x="1108364" y="54686"/>
          <a:ext cx="4009159" cy="553709"/>
        </a:xfrm>
        <a:prstGeom prst="roundRect">
          <a:avLst>
            <a:gd name="adj" fmla="val 9743"/>
          </a:avLst>
        </a:prstGeom>
        <a:solidFill>
          <a:sysClr val="window" lastClr="FFFFFF"/>
        </a:solidFill>
        <a:ln>
          <a:solidFill>
            <a:schemeClr val="bg1"/>
          </a:solid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accent5">
                  <a:lumMod val="50000"/>
                </a:schemeClr>
              </a:solidFill>
              <a:latin typeface="+mn-lt"/>
              <a:cs typeface="Arial" panose="020B0604020202020204" pitchFamily="34" charset="0"/>
            </a:rPr>
            <a:t>Manufacturing Plant Dashboard (2020-2024)</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Kyle" refreshedDate="45832.577086111109" createdVersion="5" refreshedVersion="5" minRefreshableVersion="3" recordCount="60">
  <cacheSource type="worksheet">
    <worksheetSource name="CompanyData"/>
  </cacheSource>
  <cacheFields count="20">
    <cacheField name="Year" numFmtId="0">
      <sharedItems containsSemiMixedTypes="0" containsString="0" containsNumber="1" containsInteger="1" minValue="2020" maxValue="2024" count="5">
        <n v="2020"/>
        <n v="2021"/>
        <n v="2022"/>
        <n v="2023"/>
        <n v="2024"/>
      </sharedItems>
    </cacheField>
    <cacheField name="Month" numFmtId="0">
      <sharedItems count="12">
        <s v="Jan"/>
        <s v="Feb"/>
        <s v="Mar"/>
        <s v="Apr"/>
        <s v="May"/>
        <s v="Jun"/>
        <s v="Jul"/>
        <s v="Aug"/>
        <s v="Sep"/>
        <s v="Oct"/>
        <s v="Nov"/>
        <s v="Dec"/>
      </sharedItems>
    </cacheField>
    <cacheField name="Revenue" numFmtId="43">
      <sharedItems containsSemiMixedTypes="0" containsString="0" containsNumber="1" containsInteger="1" minValue="3950000" maxValue="5480000"/>
    </cacheField>
    <cacheField name="Operating Expense" numFmtId="43">
      <sharedItems containsSemiMixedTypes="0" containsString="0" containsNumber="1" containsInteger="1" minValue="2660000" maxValue="3435000"/>
    </cacheField>
    <cacheField name="Production Volume" numFmtId="0">
      <sharedItems containsSemiMixedTypes="0" containsString="0" containsNumber="1" containsInteger="1" minValue="8410" maxValue="10940"/>
    </cacheField>
    <cacheField name="Defective Units" numFmtId="0">
      <sharedItems containsSemiMixedTypes="0" containsString="0" containsNumber="1" containsInteger="1" minValue="202" maxValue="314"/>
    </cacheField>
    <cacheField name="Downtime (hrs)" numFmtId="0">
      <sharedItems containsSemiMixedTypes="0" containsString="0" containsNumber="1" containsInteger="1" minValue="5" maxValue="14"/>
    </cacheField>
    <cacheField name="Available Prod Hours" numFmtId="0">
      <sharedItems containsSemiMixedTypes="0" containsString="0" containsNumber="1" containsInteger="1" minValue="672" maxValue="744"/>
    </cacheField>
    <cacheField name="Return Units" numFmtId="0">
      <sharedItems containsSemiMixedTypes="0" containsString="0" containsNumber="1" containsInteger="1" minValue="107" maxValue="155"/>
    </cacheField>
    <cacheField name="Gross Profit" numFmtId="43">
      <sharedItems containsSemiMixedTypes="0" containsString="0" containsNumber="1" containsInteger="1" minValue="1290000" maxValue="2470000"/>
    </cacheField>
    <cacheField name="Profit Margin (%)" numFmtId="10">
      <sharedItems containsSemiMixedTypes="0" containsString="0" containsNumber="1" minValue="0.32304038004750596" maxValue="0.45623836126629425"/>
    </cacheField>
    <cacheField name="Defect Rate (%)" numFmtId="10">
      <sharedItems containsSemiMixedTypes="0" containsString="0" containsNumber="1" minValue="1.9962686567164181E-2" maxValue="3.1764705882352938E-2"/>
    </cacheField>
    <cacheField name="Return Rate (%)" numFmtId="10">
      <sharedItems containsSemiMixedTypes="0" containsString="0" containsNumber="1" minValue="1.0447761194029851E-2" maxValue="1.8430439952437573E-2"/>
    </cacheField>
    <cacheField name="Downtime (%)" numFmtId="10">
      <sharedItems containsSemiMixedTypes="0" containsString="0" containsNumber="1" minValue="6.7204301075268818E-3" maxValue="1.9444444444444445E-2"/>
    </cacheField>
    <cacheField name="On-Time Delivery (%)" numFmtId="10">
      <sharedItems containsSemiMixedTypes="0" containsString="0" containsNumber="1" minValue="0.92500000000000004" maxValue="0.97199999999999998"/>
    </cacheField>
    <cacheField name="Complaints" numFmtId="10">
      <sharedItems containsSemiMixedTypes="0" containsString="0" containsNumber="1" containsInteger="1" minValue="3" maxValue="20"/>
    </cacheField>
    <cacheField name="Avg Delivery Lead Time (Days)" numFmtId="10">
      <sharedItems containsSemiMixedTypes="0" containsString="0" containsNumber="1" minValue="2.6" maxValue="4.3"/>
    </cacheField>
    <cacheField name="Product Quality (%)" numFmtId="10">
      <sharedItems containsSemiMixedTypes="0" containsString="0" containsNumber="1" minValue="0.875" maxValue="0.90481818181818296"/>
    </cacheField>
    <cacheField name="Service Responsiveness (%)" numFmtId="10">
      <sharedItems containsSemiMixedTypes="0" containsString="0" containsNumber="1" minValue="0.81200000000000006" maxValue="0.85938694638694602"/>
    </cacheField>
    <cacheField name="Customer Feedback Score (%)" numFmtId="10">
      <sharedItems containsSemiMixedTypes="0" containsString="0" containsNumber="1" minValue="0.84" maxValue="0.87671911421911308"/>
    </cacheField>
  </cacheFields>
  <extLst>
    <ext xmlns:x14="http://schemas.microsoft.com/office/spreadsheetml/2009/9/main" uri="{725AE2AE-9491-48be-B2B4-4EB974FC3084}">
      <x14:pivotCacheDefinition pivotCacheId="3"/>
    </ext>
  </extLst>
</pivotCacheDefinition>
</file>

<file path=xl/pivotCache/pivotCacheRecords1.xml><?xml version="1.0" encoding="utf-8"?>
<pivotCacheRecords xmlns="http://schemas.openxmlformats.org/spreadsheetml/2006/main" xmlns:r="http://schemas.openxmlformats.org/officeDocument/2006/relationships" count="60">
  <r>
    <x v="0"/>
    <x v="0"/>
    <n v="3980000"/>
    <n v="2680000"/>
    <n v="8500"/>
    <n v="270"/>
    <n v="14"/>
    <n v="744"/>
    <n v="150"/>
    <n v="1300000"/>
    <n v="0.32663316582914576"/>
    <n v="3.1764705882352938E-2"/>
    <n v="1.7647058823529412E-2"/>
    <n v="1.8817204301075269E-2"/>
    <n v="0.93400000000000005"/>
    <n v="18"/>
    <n v="4.2"/>
    <n v="0.875"/>
    <n v="0.81200000000000006"/>
    <n v="0.84"/>
  </r>
  <r>
    <x v="0"/>
    <x v="1"/>
    <n v="4010000"/>
    <n v="2690000"/>
    <n v="8650"/>
    <n v="268"/>
    <n v="13"/>
    <n v="672"/>
    <n v="148"/>
    <n v="1320000"/>
    <n v="0.32917705735660846"/>
    <n v="3.0982658959537571E-2"/>
    <n v="1.7109826589595374E-2"/>
    <n v="1.9345238095238096E-2"/>
    <n v="0.94"/>
    <n v="17"/>
    <n v="4.0999999999999996"/>
    <n v="0.88099999999999989"/>
    <n v="0.82"/>
    <n v="0.84499999999999997"/>
  </r>
  <r>
    <x v="0"/>
    <x v="2"/>
    <n v="4070000"/>
    <n v="2730000"/>
    <n v="8820"/>
    <n v="265"/>
    <n v="12"/>
    <n v="744"/>
    <n v="140"/>
    <n v="1340000"/>
    <n v="0.32923832923832924"/>
    <n v="3.0045351473922902E-2"/>
    <n v="1.5873015873015872E-2"/>
    <n v="1.6129032258064516E-2"/>
    <n v="0.93799999999999994"/>
    <n v="20"/>
    <n v="4"/>
    <n v="0.878"/>
    <n v="0.81499999999999995"/>
    <n v="0.84200000000000008"/>
  </r>
  <r>
    <x v="0"/>
    <x v="3"/>
    <n v="3950000"/>
    <n v="2660000"/>
    <n v="8410"/>
    <n v="261"/>
    <n v="14"/>
    <n v="720"/>
    <n v="155"/>
    <n v="1290000"/>
    <n v="0.32658227848101268"/>
    <n v="3.1034482758620689E-2"/>
    <n v="1.8430439952437573E-2"/>
    <n v="1.9444444444444445E-2"/>
    <n v="0.92500000000000004"/>
    <n v="19"/>
    <n v="4.3"/>
    <n v="0.88300000000000001"/>
    <n v="0.82200000000000006"/>
    <n v="0.85"/>
  </r>
  <r>
    <x v="0"/>
    <x v="4"/>
    <n v="4000000"/>
    <n v="2700000"/>
    <n v="8790"/>
    <n v="268"/>
    <n v="13"/>
    <n v="744"/>
    <n v="148"/>
    <n v="1300000"/>
    <n v="0.32500000000000001"/>
    <n v="3.0489192263936291E-2"/>
    <n v="1.6837315130830491E-2"/>
    <n v="1.7473118279569891E-2"/>
    <n v="0.93200000000000005"/>
    <n v="18"/>
    <n v="4.2"/>
    <n v="0.879"/>
    <n v="0.81799999999999995"/>
    <n v="0.84299999999999997"/>
  </r>
  <r>
    <x v="0"/>
    <x v="5"/>
    <n v="4160000"/>
    <n v="2760000"/>
    <n v="8990"/>
    <n v="265"/>
    <n v="12"/>
    <n v="720"/>
    <n v="143"/>
    <n v="1400000"/>
    <n v="0.33653846153846156"/>
    <n v="2.9477196885428252E-2"/>
    <n v="1.5906562847608455E-2"/>
    <n v="1.6666666666666666E-2"/>
    <n v="0.93799999999999994"/>
    <n v="17"/>
    <n v="4.0999999999999996"/>
    <n v="0.88500000000000001"/>
    <n v="0.82499999999999996"/>
    <n v="0.85099999999999998"/>
  </r>
  <r>
    <x v="0"/>
    <x v="6"/>
    <n v="4090000"/>
    <n v="2740000"/>
    <n v="8880"/>
    <n v="258"/>
    <n v="11"/>
    <n v="744"/>
    <n v="145"/>
    <n v="1350000"/>
    <n v="0.33007334963325186"/>
    <n v="2.9054054054054056E-2"/>
    <n v="1.6328828828828829E-2"/>
    <n v="1.4784946236559141E-2"/>
    <n v="0.94099999999999995"/>
    <n v="16"/>
    <n v="4"/>
    <n v="0.87599999999999989"/>
    <n v="0.81700000000000006"/>
    <n v="0.84"/>
  </r>
  <r>
    <x v="0"/>
    <x v="7"/>
    <n v="4210000"/>
    <n v="2800000"/>
    <n v="9100"/>
    <n v="259"/>
    <n v="11"/>
    <n v="744"/>
    <n v="140"/>
    <n v="1410000"/>
    <n v="0.33491686460807601"/>
    <n v="2.8461538461538462E-2"/>
    <n v="1.5384615384615385E-2"/>
    <n v="1.4784946236559141E-2"/>
    <n v="0.94499999999999995"/>
    <n v="18"/>
    <n v="4.0999999999999996"/>
    <n v="0.88"/>
    <n v="0.82"/>
    <n v="0.84499999999999997"/>
  </r>
  <r>
    <x v="0"/>
    <x v="8"/>
    <n v="4230000"/>
    <n v="2810000"/>
    <n v="9020"/>
    <n v="253"/>
    <n v="10"/>
    <n v="720"/>
    <n v="138"/>
    <n v="1420000"/>
    <n v="0.33569739952718675"/>
    <n v="2.8048780487804879E-2"/>
    <n v="1.5299334811529933E-2"/>
    <n v="1.3888888888888888E-2"/>
    <n v="0.94799999999999995"/>
    <n v="17"/>
    <n v="4"/>
    <n v="0.88200000000000001"/>
    <n v="0.82299999999999995"/>
    <n v="0.84799999999999998"/>
  </r>
  <r>
    <x v="0"/>
    <x v="9"/>
    <n v="4050000"/>
    <n v="2720000"/>
    <n v="8720"/>
    <n v="249"/>
    <n v="11"/>
    <n v="744"/>
    <n v="144"/>
    <n v="1330000"/>
    <n v="0.32839506172839505"/>
    <n v="2.8555045871559635E-2"/>
    <n v="1.6513761467889909E-2"/>
    <n v="1.4784946236559141E-2"/>
    <n v="0.94"/>
    <n v="16"/>
    <n v="4.0999999999999996"/>
    <n v="0.877"/>
    <n v="0.81599999999999995"/>
    <n v="0.84099999999999997"/>
  </r>
  <r>
    <x v="0"/>
    <x v="10"/>
    <n v="4190000"/>
    <n v="2790000"/>
    <n v="8950"/>
    <n v="246"/>
    <n v="12"/>
    <n v="720"/>
    <n v="140"/>
    <n v="1400000"/>
    <n v="0.33412887828162291"/>
    <n v="2.7486033519553074E-2"/>
    <n v="1.564245810055866E-2"/>
    <n v="1.6666666666666666E-2"/>
    <n v="0.94299999999999995"/>
    <n v="19"/>
    <n v="4.2"/>
    <n v="0.88400000000000001"/>
    <n v="0.82400000000000007"/>
    <n v="0.85"/>
  </r>
  <r>
    <x v="0"/>
    <x v="11"/>
    <n v="4130000"/>
    <n v="2760000"/>
    <n v="9100"/>
    <n v="253"/>
    <n v="11"/>
    <n v="744"/>
    <n v="139"/>
    <n v="1370000"/>
    <n v="0.33171912832929784"/>
    <n v="2.7802197802197802E-2"/>
    <n v="1.5274725274725275E-2"/>
    <n v="1.4784946236559141E-2"/>
    <n v="0.94599999999999995"/>
    <n v="18"/>
    <n v="4"/>
    <n v="0.8859999999999999"/>
    <n v="0.82700000000000007"/>
    <n v="0.85299999999999998"/>
  </r>
  <r>
    <x v="1"/>
    <x v="0"/>
    <n v="4320000"/>
    <n v="2880000"/>
    <n v="9250"/>
    <n v="250"/>
    <n v="12"/>
    <n v="744"/>
    <n v="138"/>
    <n v="1440000"/>
    <n v="0.33333333333333331"/>
    <n v="2.7027027027027029E-2"/>
    <n v="1.4918918918918918E-2"/>
    <n v="1.6129032258064516E-2"/>
    <n v="0.95"/>
    <n v="16"/>
    <n v="4"/>
    <n v="0.88345454545454605"/>
    <n v="0.82471212121212101"/>
    <n v="0.84943939393939405"/>
  </r>
  <r>
    <x v="1"/>
    <x v="1"/>
    <n v="4400000"/>
    <n v="2940000"/>
    <n v="9420"/>
    <n v="250"/>
    <n v="11"/>
    <n v="672"/>
    <n v="136"/>
    <n v="1460000"/>
    <n v="0.33181818181818185"/>
    <n v="2.6539278131634821E-2"/>
    <n v="1.4437367303609342E-2"/>
    <n v="1.636904761904762E-2"/>
    <n v="0.95199999999999996"/>
    <n v="15"/>
    <n v="3.9"/>
    <n v="0.88390909090909109"/>
    <n v="0.82544988344988302"/>
    <n v="0.85001981351981304"/>
  </r>
  <r>
    <x v="1"/>
    <x v="2"/>
    <n v="4530000"/>
    <n v="2990000"/>
    <n v="9580"/>
    <n v="249"/>
    <n v="11"/>
    <n v="744"/>
    <n v="130"/>
    <n v="1540000"/>
    <n v="0.33995584988962474"/>
    <n v="2.5991649269311065E-2"/>
    <n v="1.3569937369519834E-2"/>
    <n v="1.4784946236559141E-2"/>
    <n v="0.95499999999999996"/>
    <n v="16"/>
    <n v="3.9"/>
    <n v="0.88436363636363691"/>
    <n v="0.82618764568764502"/>
    <n v="0.85060023310023292"/>
  </r>
  <r>
    <x v="1"/>
    <x v="3"/>
    <n v="4370000"/>
    <n v="2910000"/>
    <n v="9210"/>
    <n v="244"/>
    <n v="12"/>
    <n v="720"/>
    <n v="135"/>
    <n v="1460000"/>
    <n v="0.33409610983981691"/>
    <n v="2.6492942453854505E-2"/>
    <n v="1.4657980456026058E-2"/>
    <n v="1.6666666666666666E-2"/>
    <n v="0.95"/>
    <n v="15"/>
    <n v="3.8"/>
    <n v="0.88481818181818195"/>
    <n v="0.82692540792540792"/>
    <n v="0.8511806526806529"/>
  </r>
  <r>
    <x v="1"/>
    <x v="4"/>
    <n v="4460000"/>
    <n v="2960000"/>
    <n v="9480"/>
    <n v="247"/>
    <n v="11"/>
    <n v="744"/>
    <n v="133"/>
    <n v="1500000"/>
    <n v="0.33632286995515698"/>
    <n v="2.6054852320675104E-2"/>
    <n v="1.4029535864978904E-2"/>
    <n v="1.4784946236559141E-2"/>
    <n v="0.95399999999999996"/>
    <n v="14"/>
    <n v="3.8"/>
    <n v="0.88527272727272699"/>
    <n v="0.82766317016317004"/>
    <n v="0.85176107226107201"/>
  </r>
  <r>
    <x v="1"/>
    <x v="5"/>
    <n v="4610000"/>
    <n v="3030000"/>
    <n v="9630"/>
    <n v="241"/>
    <n v="10"/>
    <n v="720"/>
    <n v="130"/>
    <n v="1580000"/>
    <n v="0.34273318872017355"/>
    <n v="2.5025960539979231E-2"/>
    <n v="1.3499480789200415E-2"/>
    <n v="1.3888888888888888E-2"/>
    <n v="0.95699999999999996"/>
    <n v="13"/>
    <n v="3.7"/>
    <n v="0.88572727272727303"/>
    <n v="0.82840093240093193"/>
    <n v="0.85234149184149199"/>
  </r>
  <r>
    <x v="1"/>
    <x v="6"/>
    <n v="4550000"/>
    <n v="3010000"/>
    <n v="9540"/>
    <n v="234"/>
    <n v="10"/>
    <n v="744"/>
    <n v="132"/>
    <n v="1540000"/>
    <n v="0.33846153846153848"/>
    <n v="2.4528301886792454E-2"/>
    <n v="1.3836477987421384E-2"/>
    <n v="1.3440860215053764E-2"/>
    <n v="0.95499999999999996"/>
    <n v="14"/>
    <n v="3.7"/>
    <n v="0.88618181818181796"/>
    <n v="0.82913869463869405"/>
    <n v="0.85292191142191098"/>
  </r>
  <r>
    <x v="1"/>
    <x v="7"/>
    <n v="4700000"/>
    <n v="3090000"/>
    <n v="9750"/>
    <n v="237"/>
    <n v="9"/>
    <n v="744"/>
    <n v="127"/>
    <n v="1610000"/>
    <n v="0.3425531914893617"/>
    <n v="2.4307692307692308E-2"/>
    <n v="1.3025641025641025E-2"/>
    <n v="1.2096774193548387E-2"/>
    <n v="0.95799999999999996"/>
    <n v="13"/>
    <n v="3.7"/>
    <n v="0.886636363636364"/>
    <n v="0.82987645687645695"/>
    <n v="0.85350233100233097"/>
  </r>
  <r>
    <x v="1"/>
    <x v="8"/>
    <n v="4750000"/>
    <n v="3120000"/>
    <n v="9680"/>
    <n v="232"/>
    <n v="9"/>
    <n v="720"/>
    <n v="125"/>
    <n v="1630000"/>
    <n v="0.34315789473684211"/>
    <n v="2.3966942148760332E-2"/>
    <n v="1.2913223140495868E-2"/>
    <n v="1.2500000000000001E-2"/>
    <n v="0.96"/>
    <n v="12"/>
    <n v="3.6"/>
    <n v="0.88709090909090904"/>
    <n v="0.83061421911421907"/>
    <n v="0.85408275058274996"/>
  </r>
  <r>
    <x v="1"/>
    <x v="9"/>
    <n v="4600000"/>
    <n v="3060000"/>
    <n v="9450"/>
    <n v="232"/>
    <n v="10"/>
    <n v="744"/>
    <n v="130"/>
    <n v="1540000"/>
    <n v="0.33478260869565218"/>
    <n v="2.4550264550264551E-2"/>
    <n v="1.3756613756613757E-2"/>
    <n v="1.3440860215053764E-2"/>
    <n v="0.95599999999999996"/>
    <n v="13"/>
    <n v="3.6"/>
    <n v="0.88754545454545497"/>
    <n v="0.83135198135198096"/>
    <n v="0.85466317016317006"/>
  </r>
  <r>
    <x v="1"/>
    <x v="10"/>
    <n v="4740000"/>
    <n v="3130000"/>
    <n v="9630"/>
    <n v="229"/>
    <n v="9"/>
    <n v="720"/>
    <n v="126"/>
    <n v="1610000"/>
    <n v="0.33966244725738398"/>
    <n v="2.3779854620976117E-2"/>
    <n v="1.3084112149532711E-2"/>
    <n v="1.2500000000000001E-2"/>
    <n v="0.95899999999999996"/>
    <n v="12"/>
    <n v="3.7"/>
    <n v="0.88800000000000001"/>
    <n v="0.83208974358974297"/>
    <n v="0.85524358974359005"/>
  </r>
  <r>
    <x v="1"/>
    <x v="11"/>
    <n v="4680000"/>
    <n v="3090000"/>
    <n v="9760"/>
    <n v="234"/>
    <n v="9"/>
    <n v="744"/>
    <n v="124"/>
    <n v="1590000"/>
    <n v="0.33974358974358976"/>
    <n v="2.3975409836065574E-2"/>
    <n v="1.2704918032786885E-2"/>
    <n v="1.2096774193548387E-2"/>
    <n v="0.96"/>
    <n v="13"/>
    <n v="3.6"/>
    <n v="0.88845454545454605"/>
    <n v="0.83282750582750598"/>
    <n v="0.85582400932400904"/>
  </r>
  <r>
    <x v="2"/>
    <x v="0"/>
    <n v="4800000"/>
    <n v="3190000"/>
    <n v="9850"/>
    <n v="227"/>
    <n v="11"/>
    <n v="744"/>
    <n v="123"/>
    <n v="1610000"/>
    <n v="0.33541666666666664"/>
    <n v="2.3045685279187818E-2"/>
    <n v="1.248730964467005E-2"/>
    <n v="1.4784946236559141E-2"/>
    <n v="0.96199999999999997"/>
    <n v="12"/>
    <n v="3.5"/>
    <n v="0.88890909090909109"/>
    <n v="0.83356526806526798"/>
    <n v="0.85640442890442903"/>
  </r>
  <r>
    <x v="2"/>
    <x v="1"/>
    <n v="4880000"/>
    <n v="3230000"/>
    <n v="9990"/>
    <n v="225"/>
    <n v="10"/>
    <n v="672"/>
    <n v="120"/>
    <n v="1650000"/>
    <n v="0.33811475409836067"/>
    <n v="2.2522522522522521E-2"/>
    <n v="1.2012012012012012E-2"/>
    <n v="1.488095238095238E-2"/>
    <n v="0.96299999999999997"/>
    <n v="11"/>
    <n v="3.5"/>
    <n v="0.88936363636363691"/>
    <n v="0.83430303030302999"/>
    <n v="0.85698484848484791"/>
  </r>
  <r>
    <x v="2"/>
    <x v="2"/>
    <n v="5030000"/>
    <n v="3300000"/>
    <n v="10150"/>
    <n v="223"/>
    <n v="10"/>
    <n v="744"/>
    <n v="118"/>
    <n v="1730000"/>
    <n v="0.34393638170974156"/>
    <n v="2.1970443349753694E-2"/>
    <n v="1.1625615763546798E-2"/>
    <n v="1.3440860215053764E-2"/>
    <n v="0.96399999999999997"/>
    <n v="11"/>
    <n v="3.5"/>
    <n v="0.88981818181818195"/>
    <n v="0.835040792540792"/>
    <n v="0.85756526806526789"/>
  </r>
  <r>
    <x v="2"/>
    <x v="3"/>
    <n v="4900000"/>
    <n v="3240000"/>
    <n v="9850"/>
    <n v="222"/>
    <n v="11"/>
    <n v="720"/>
    <n v="122"/>
    <n v="1660000"/>
    <n v="0.33877551020408164"/>
    <n v="2.2538071065989849E-2"/>
    <n v="1.2385786802030457E-2"/>
    <n v="1.5277777777777777E-2"/>
    <n v="0.96"/>
    <n v="12"/>
    <n v="3.4"/>
    <n v="0.89027272727272699"/>
    <n v="0.83577855477855489"/>
    <n v="0.85814568764568699"/>
  </r>
  <r>
    <x v="2"/>
    <x v="4"/>
    <n v="4950000"/>
    <n v="3270000"/>
    <n v="10120"/>
    <n v="223"/>
    <n v="10"/>
    <n v="744"/>
    <n v="119"/>
    <n v="1680000"/>
    <n v="0.33939393939393941"/>
    <n v="2.2035573122529645E-2"/>
    <n v="1.1758893280632411E-2"/>
    <n v="1.3440860215053764E-2"/>
    <n v="0.96099999999999997"/>
    <n v="11"/>
    <n v="3.4"/>
    <n v="0.89072727272727303"/>
    <n v="0.83651631701631701"/>
    <n v="0.85872610722610698"/>
  </r>
  <r>
    <x v="2"/>
    <x v="5"/>
    <n v="5150000"/>
    <n v="3360000"/>
    <n v="10320"/>
    <n v="222"/>
    <n v="9"/>
    <n v="720"/>
    <n v="117"/>
    <n v="1790000"/>
    <n v="0.34757281553398056"/>
    <n v="2.1511627906976746E-2"/>
    <n v="1.1337209302325582E-2"/>
    <n v="1.2500000000000001E-2"/>
    <n v="0.96499999999999997"/>
    <n v="10"/>
    <n v="3.4"/>
    <n v="0.89118181818181796"/>
    <n v="0.83725407925407891"/>
    <n v="0.85930652680652697"/>
  </r>
  <r>
    <x v="2"/>
    <x v="6"/>
    <n v="5090000"/>
    <n v="3330000"/>
    <n v="10140"/>
    <n v="213"/>
    <n v="9"/>
    <n v="744"/>
    <n v="118"/>
    <n v="1760000"/>
    <n v="0.34577603143418467"/>
    <n v="2.1005917159763313E-2"/>
    <n v="1.1637080867850098E-2"/>
    <n v="1.2096774193548387E-2"/>
    <n v="0.96599999999999997"/>
    <n v="9"/>
    <n v="3.3"/>
    <n v="0.891636363636364"/>
    <n v="0.83799184149184103"/>
    <n v="0.85988694638694596"/>
  </r>
  <r>
    <x v="2"/>
    <x v="7"/>
    <n v="5250000"/>
    <n v="3400000"/>
    <n v="10400"/>
    <n v="213"/>
    <n v="9"/>
    <n v="744"/>
    <n v="116"/>
    <n v="1850000"/>
    <n v="0.35238095238095241"/>
    <n v="2.0480769230769229E-2"/>
    <n v="1.1153846153846153E-2"/>
    <n v="1.2096774193548387E-2"/>
    <n v="0.96699999999999997"/>
    <n v="9"/>
    <n v="3.3"/>
    <n v="0.89209090909090905"/>
    <n v="0.83872960372960403"/>
    <n v="0.86046736596736595"/>
  </r>
  <r>
    <x v="2"/>
    <x v="8"/>
    <n v="5300000"/>
    <n v="3430000"/>
    <n v="10280"/>
    <n v="216"/>
    <n v="8"/>
    <n v="720"/>
    <n v="114"/>
    <n v="1870000"/>
    <n v="0.35283018867924526"/>
    <n v="2.1011673151750974E-2"/>
    <n v="1.1089494163424125E-2"/>
    <n v="1.1111111111111112E-2"/>
    <n v="0.96799999999999997"/>
    <n v="10"/>
    <n v="3.3"/>
    <n v="0.89254545454545497"/>
    <n v="0.83946736596736604"/>
    <n v="0.86104778554778505"/>
  </r>
  <r>
    <x v="2"/>
    <x v="9"/>
    <n v="5130000"/>
    <n v="3350000"/>
    <n v="10050"/>
    <n v="216"/>
    <n v="9"/>
    <n v="744"/>
    <n v="118"/>
    <n v="1780000"/>
    <n v="0.34697855750487328"/>
    <n v="2.1492537313432834E-2"/>
    <n v="1.1741293532338309E-2"/>
    <n v="1.2096774193548387E-2"/>
    <n v="0.96599999999999997"/>
    <n v="9"/>
    <n v="3.2"/>
    <n v="0.89300000000000002"/>
    <n v="0.84020512820512805"/>
    <n v="0.86162820512820504"/>
  </r>
  <r>
    <x v="2"/>
    <x v="10"/>
    <n v="5280000"/>
    <n v="3435000"/>
    <n v="10300"/>
    <n v="214"/>
    <n v="8"/>
    <n v="720"/>
    <n v="116"/>
    <n v="1845000"/>
    <n v="0.34943181818181818"/>
    <n v="2.0776699029126214E-2"/>
    <n v="1.1262135922330097E-2"/>
    <n v="1.1111111111111112E-2"/>
    <n v="0.96899999999999997"/>
    <n v="9"/>
    <n v="3.3"/>
    <n v="0.89345454545454606"/>
    <n v="0.84094289044288995"/>
    <n v="0.86220862470862503"/>
  </r>
  <r>
    <x v="2"/>
    <x v="11"/>
    <n v="5200000"/>
    <n v="3385000"/>
    <n v="10410"/>
    <n v="219"/>
    <n v="8"/>
    <n v="744"/>
    <n v="113"/>
    <n v="1815000"/>
    <n v="0.34903846153846152"/>
    <n v="2.1037463976945246E-2"/>
    <n v="1.085494716618636E-2"/>
    <n v="1.0752688172043012E-2"/>
    <n v="0.97"/>
    <n v="10"/>
    <n v="3.2"/>
    <n v="0.8939090909090911"/>
    <n v="0.84168065268065206"/>
    <n v="0.86278904428904402"/>
  </r>
  <r>
    <x v="3"/>
    <x v="0"/>
    <n v="5340000"/>
    <n v="3150000"/>
    <n v="9820"/>
    <n v="206"/>
    <n v="5"/>
    <n v="744"/>
    <n v="120"/>
    <n v="2190000"/>
    <n v="0.4101123595505618"/>
    <n v="2.0977596741344195E-2"/>
    <n v="1.2219959266802444E-2"/>
    <n v="6.7204301075268818E-3"/>
    <n v="0.96799999999999997"/>
    <n v="11"/>
    <n v="3.3"/>
    <n v="0.89436363636363692"/>
    <n v="0.84241841491841496"/>
    <n v="0.86336946386946389"/>
  </r>
  <r>
    <x v="3"/>
    <x v="1"/>
    <n v="5280000"/>
    <n v="2950000"/>
    <n v="10430"/>
    <n v="240"/>
    <n v="8"/>
    <n v="672"/>
    <n v="115"/>
    <n v="2330000"/>
    <n v="0.44128787878787878"/>
    <n v="2.3010546500479387E-2"/>
    <n v="1.1025886864813039E-2"/>
    <n v="1.1904761904761904E-2"/>
    <n v="0.97"/>
    <n v="10"/>
    <n v="3.3"/>
    <n v="0.89481818181818196"/>
    <n v="0.84315617715617708"/>
    <n v="0.8639498834498831"/>
  </r>
  <r>
    <x v="3"/>
    <x v="2"/>
    <n v="4980000"/>
    <n v="3000000"/>
    <n v="10480"/>
    <n v="262"/>
    <n v="7"/>
    <n v="744"/>
    <n v="110"/>
    <n v="1980000"/>
    <n v="0.39759036144578314"/>
    <n v="2.5000000000000001E-2"/>
    <n v="1.049618320610687E-2"/>
    <n v="9.4086021505376347E-3"/>
    <n v="0.97099999999999997"/>
    <n v="9"/>
    <n v="3.2"/>
    <n v="0.895272727272727"/>
    <n v="0.84389393939393897"/>
    <n v="0.86453030303030298"/>
  </r>
  <r>
    <x v="3"/>
    <x v="3"/>
    <n v="5130000"/>
    <n v="3070000"/>
    <n v="10940"/>
    <n v="230"/>
    <n v="8"/>
    <n v="720"/>
    <n v="118"/>
    <n v="2060000"/>
    <n v="0.40155945419103312"/>
    <n v="2.1023765996343691E-2"/>
    <n v="1.0786106032906764E-2"/>
    <n v="1.1111111111111112E-2"/>
    <n v="0.96699999999999997"/>
    <n v="10"/>
    <n v="3.2"/>
    <n v="0.89572727272727304"/>
    <n v="0.84463170163170109"/>
    <n v="0.86511072261072197"/>
  </r>
  <r>
    <x v="3"/>
    <x v="4"/>
    <n v="4980000"/>
    <n v="3200000"/>
    <n v="9520"/>
    <n v="210"/>
    <n v="9"/>
    <n v="744"/>
    <n v="112"/>
    <n v="1780000"/>
    <n v="0.35742971887550201"/>
    <n v="2.2058823529411766E-2"/>
    <n v="1.1764705882352941E-2"/>
    <n v="1.2096774193548387E-2"/>
    <n v="0.96499999999999997"/>
    <n v="9"/>
    <n v="3.1"/>
    <n v="0.89618181818181797"/>
    <n v="0.84536946386946399"/>
    <n v="0.86569114219114196"/>
  </r>
  <r>
    <x v="3"/>
    <x v="5"/>
    <n v="5370000"/>
    <n v="2920000"/>
    <n v="10830"/>
    <n v="314"/>
    <n v="5"/>
    <n v="720"/>
    <n v="125"/>
    <n v="2450000"/>
    <n v="0.45623836126629425"/>
    <n v="2.8993536472760848E-2"/>
    <n v="1.1542012927054479E-2"/>
    <n v="6.9444444444444441E-3"/>
    <n v="0.97199999999999998"/>
    <n v="8"/>
    <n v="3.1"/>
    <n v="0.89663636363636401"/>
    <n v="0.846107226107226"/>
    <n v="0.86627156177156195"/>
  </r>
  <r>
    <x v="3"/>
    <x v="6"/>
    <n v="4990000"/>
    <n v="3000000"/>
    <n v="9500"/>
    <n v="219"/>
    <n v="10"/>
    <n v="744"/>
    <n v="110"/>
    <n v="1990000"/>
    <n v="0.39879759519038077"/>
    <n v="2.305263157894737E-2"/>
    <n v="1.1578947368421053E-2"/>
    <n v="1.3440860215053764E-2"/>
    <n v="0.96399999999999997"/>
    <n v="9"/>
    <n v="3"/>
    <n v="0.89709090909090905"/>
    <n v="0.846844988344988"/>
    <n v="0.86685198135198105"/>
  </r>
  <r>
    <x v="3"/>
    <x v="7"/>
    <n v="5450000"/>
    <n v="3100000"/>
    <n v="10720"/>
    <n v="214"/>
    <n v="6"/>
    <n v="744"/>
    <n v="112"/>
    <n v="2350000"/>
    <n v="0.43119266055045874"/>
    <n v="1.9962686567164181E-2"/>
    <n v="1.0447761194029851E-2"/>
    <n v="8.0645161290322578E-3"/>
    <n v="0.96899999999999997"/>
    <n v="8"/>
    <n v="3"/>
    <n v="0.89754545454545498"/>
    <n v="0.84758275058275001"/>
    <n v="0.86743240093240104"/>
  </r>
  <r>
    <x v="3"/>
    <x v="8"/>
    <n v="5480000"/>
    <n v="3010000"/>
    <n v="9200"/>
    <n v="221"/>
    <n v="7"/>
    <n v="720"/>
    <n v="109"/>
    <n v="2470000"/>
    <n v="0.45072992700729925"/>
    <n v="2.4021739130434781E-2"/>
    <n v="1.1847826086956522E-2"/>
    <n v="9.7222222222222224E-3"/>
    <n v="0.97099999999999997"/>
    <n v="7"/>
    <n v="3"/>
    <n v="0.89800000000000002"/>
    <n v="0.84832051282051291"/>
    <n v="0.86801282051282003"/>
  </r>
  <r>
    <x v="3"/>
    <x v="9"/>
    <n v="4810000"/>
    <n v="3180000"/>
    <n v="10100"/>
    <n v="202"/>
    <n v="6"/>
    <n v="744"/>
    <n v="107"/>
    <n v="1630000"/>
    <n v="0.3388773388773389"/>
    <n v="0.02"/>
    <n v="1.0594059405940595E-2"/>
    <n v="8.0645161290322578E-3"/>
    <n v="0.96499999999999997"/>
    <n v="8"/>
    <n v="3"/>
    <n v="0.89845454545454606"/>
    <n v="0.84905827505827502"/>
    <n v="0.86859324009324002"/>
  </r>
  <r>
    <x v="3"/>
    <x v="10"/>
    <n v="5430000"/>
    <n v="3130000"/>
    <n v="10570"/>
    <n v="254"/>
    <n v="10"/>
    <n v="720"/>
    <n v="111"/>
    <n v="2300000"/>
    <n v="0.42357274401473294"/>
    <n v="2.4030274361400188E-2"/>
    <n v="1.0501419110690633E-2"/>
    <n v="1.3888888888888888E-2"/>
    <n v="0.97"/>
    <n v="7"/>
    <n v="3"/>
    <n v="0.8989090909090911"/>
    <n v="0.84979603729603692"/>
    <n v="0.86917365967366"/>
  </r>
  <r>
    <x v="3"/>
    <x v="11"/>
    <n v="5060000"/>
    <n v="3010000"/>
    <n v="9610"/>
    <n v="250"/>
    <n v="7"/>
    <n v="744"/>
    <n v="110"/>
    <n v="2050000"/>
    <n v="0.40513833992094861"/>
    <n v="2.6014568158168574E-2"/>
    <n v="1.1446409989594173E-2"/>
    <n v="9.4086021505376347E-3"/>
    <n v="0.96599999999999997"/>
    <n v="7"/>
    <n v="2.9"/>
    <n v="0.89936363636363692"/>
    <n v="0.85053379953379904"/>
    <n v="0.86975407925407888"/>
  </r>
  <r>
    <x v="4"/>
    <x v="0"/>
    <n v="4210000"/>
    <n v="2850000"/>
    <n v="9120"/>
    <n v="281"/>
    <n v="13"/>
    <n v="744"/>
    <n v="120"/>
    <n v="1360000"/>
    <n v="0.32304038004750596"/>
    <n v="3.0811403508771928E-2"/>
    <n v="1.3157894736842105E-2"/>
    <n v="1.7473118279569891E-2"/>
    <n v="0.95299999999999996"/>
    <n v="7"/>
    <n v="3"/>
    <n v="0.89981818181818196"/>
    <n v="0.85127156177156194"/>
    <n v="0.87033449883449909"/>
  </r>
  <r>
    <x v="4"/>
    <x v="1"/>
    <n v="4390000"/>
    <n v="2720000"/>
    <n v="8950"/>
    <n v="259"/>
    <n v="12"/>
    <n v="672"/>
    <n v="115"/>
    <n v="1670000"/>
    <n v="0.38041002277904329"/>
    <n v="2.8938547486033521E-2"/>
    <n v="1.2849162011173185E-2"/>
    <n v="1.7857142857142856E-2"/>
    <n v="0.95599999999999996"/>
    <n v="6"/>
    <n v="2.9"/>
    <n v="0.900272727272727"/>
    <n v="0.85200932400932405"/>
    <n v="0.87091491841491797"/>
  </r>
  <r>
    <x v="4"/>
    <x v="2"/>
    <n v="4530000"/>
    <n v="2800000"/>
    <n v="9250"/>
    <n v="271"/>
    <n v="11"/>
    <n v="744"/>
    <n v="110"/>
    <n v="1730000"/>
    <n v="0.38189845474613687"/>
    <n v="2.9297297297297298E-2"/>
    <n v="1.1891891891891892E-2"/>
    <n v="1.4784946236559141E-2"/>
    <n v="0.95899999999999996"/>
    <n v="6"/>
    <n v="2.9"/>
    <n v="0.90072727272727304"/>
    <n v="0.85274708624708595"/>
    <n v="0.87149533799533796"/>
  </r>
  <r>
    <x v="4"/>
    <x v="3"/>
    <n v="4440000"/>
    <n v="2800000"/>
    <n v="8890"/>
    <n v="245"/>
    <n v="12"/>
    <n v="720"/>
    <n v="118"/>
    <n v="1640000"/>
    <n v="0.36936936936936937"/>
    <n v="2.7559055118110236E-2"/>
    <n v="1.3273340832395951E-2"/>
    <n v="1.6666666666666666E-2"/>
    <n v="0.95399999999999996"/>
    <n v="5"/>
    <n v="2.8"/>
    <n v="0.90118181818181797"/>
    <n v="0.85348484848484807"/>
    <n v="0.87207575757575695"/>
  </r>
  <r>
    <x v="4"/>
    <x v="4"/>
    <n v="4400000"/>
    <n v="2740000"/>
    <n v="9340"/>
    <n v="239"/>
    <n v="11"/>
    <n v="744"/>
    <n v="112"/>
    <n v="1660000"/>
    <n v="0.37727272727272726"/>
    <n v="2.5588865096359742E-2"/>
    <n v="1.1991434689507495E-2"/>
    <n v="1.4784946236559141E-2"/>
    <n v="0.95799999999999996"/>
    <n v="5"/>
    <n v="2.8"/>
    <n v="0.90163636363636401"/>
    <n v="0.85422261072261096"/>
    <n v="0.87265617715617694"/>
  </r>
  <r>
    <x v="4"/>
    <x v="5"/>
    <n v="4680000"/>
    <n v="2850000"/>
    <n v="9510"/>
    <n v="232"/>
    <n v="10"/>
    <n v="720"/>
    <n v="110"/>
    <n v="1830000"/>
    <n v="0.39102564102564102"/>
    <n v="2.4395373291272344E-2"/>
    <n v="1.1566771819137749E-2"/>
    <n v="1.3888888888888888E-2"/>
    <n v="0.96"/>
    <n v="5"/>
    <n v="2.8"/>
    <n v="0.90209090909090905"/>
    <n v="0.85496037296037297"/>
    <n v="0.87323659673659604"/>
  </r>
  <r>
    <x v="4"/>
    <x v="6"/>
    <n v="4590000"/>
    <n v="2770000"/>
    <n v="9650"/>
    <n v="223"/>
    <n v="9"/>
    <n v="744"/>
    <n v="109"/>
    <n v="1820000"/>
    <n v="0.39651416122004357"/>
    <n v="2.3108808290155439E-2"/>
    <n v="1.1295336787564766E-2"/>
    <n v="1.2096774193548387E-2"/>
    <n v="0.95699999999999996"/>
    <n v="5"/>
    <n v="2.7"/>
    <n v="0.90254545454545498"/>
    <n v="0.85569813519813498"/>
    <n v="0.87381701631701603"/>
  </r>
  <r>
    <x v="4"/>
    <x v="7"/>
    <n v="4760000"/>
    <n v="2900000"/>
    <n v="9870"/>
    <n v="232"/>
    <n v="9"/>
    <n v="744"/>
    <n v="108"/>
    <n v="1860000"/>
    <n v="0.3907563025210084"/>
    <n v="2.3505572441742655E-2"/>
    <n v="1.094224924012158E-2"/>
    <n v="1.2096774193548387E-2"/>
    <n v="0.96099999999999997"/>
    <n v="4"/>
    <n v="2.7"/>
    <n v="0.90300000000000002"/>
    <n v="0.85643589743589699"/>
    <n v="0.87439743589743602"/>
  </r>
  <r>
    <x v="4"/>
    <x v="8"/>
    <n v="4830000"/>
    <n v="2910000"/>
    <n v="9600"/>
    <n v="218"/>
    <n v="8"/>
    <n v="720"/>
    <n v="110"/>
    <n v="1920000"/>
    <n v="0.39751552795031053"/>
    <n v="2.2708333333333334E-2"/>
    <n v="1.1458333333333333E-2"/>
    <n v="1.1111111111111112E-2"/>
    <n v="0.96399999999999997"/>
    <n v="4"/>
    <n v="2.7"/>
    <n v="0.90345454545454595"/>
    <n v="0.8571736596736601"/>
    <n v="0.874977855477855"/>
  </r>
  <r>
    <x v="4"/>
    <x v="9"/>
    <n v="4720000"/>
    <n v="2920000"/>
    <n v="9470"/>
    <n v="213"/>
    <n v="7"/>
    <n v="744"/>
    <n v="111"/>
    <n v="1800000"/>
    <n v="0.38135593220338981"/>
    <n v="2.2492080253431891E-2"/>
    <n v="1.1721224920802534E-2"/>
    <n v="9.4086021505376347E-3"/>
    <n v="0.96"/>
    <n v="4"/>
    <n v="2.6"/>
    <n v="0.903909090909091"/>
    <n v="0.857911421911422"/>
    <n v="0.87555827505827499"/>
  </r>
  <r>
    <x v="4"/>
    <x v="10"/>
    <n v="4850000"/>
    <n v="2930000"/>
    <n v="9730"/>
    <n v="226"/>
    <n v="9"/>
    <n v="720"/>
    <n v="108"/>
    <n v="1920000"/>
    <n v="0.3958762886597938"/>
    <n v="2.3227132579650565E-2"/>
    <n v="1.1099691675231244E-2"/>
    <n v="1.2500000000000001E-2"/>
    <n v="0.96299999999999997"/>
    <n v="4"/>
    <n v="2.6"/>
    <n v="0.90436363636363692"/>
    <n v="0.85864918414918412"/>
    <n v="0.87613869463869409"/>
  </r>
  <r>
    <x v="4"/>
    <x v="11"/>
    <n v="4790000"/>
    <n v="2880000"/>
    <n v="9900"/>
    <n v="227"/>
    <n v="8"/>
    <n v="744"/>
    <n v="109"/>
    <n v="1910000"/>
    <n v="0.39874739039665968"/>
    <n v="2.2929292929292928E-2"/>
    <n v="1.101010101010101E-2"/>
    <n v="1.0752688172043012E-2"/>
    <n v="0.96199999999999997"/>
    <n v="3"/>
    <n v="2.6"/>
    <n v="0.90481818181818296"/>
    <n v="0.85938694638694602"/>
    <n v="0.8767191142191130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opexp_revn" cacheId="8"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2">
  <location ref="A4:C18" firstHeaderRow="0" firstDataRow="1" firstDataCol="1"/>
  <pivotFields count="20">
    <pivotField axis="axisRow" showAll="0">
      <items count="6">
        <item h="1" x="0"/>
        <item h="1" x="1"/>
        <item h="1" x="2"/>
        <item x="3"/>
        <item h="1" x="4"/>
        <item t="default"/>
      </items>
    </pivotField>
    <pivotField axis="axisRow" showAll="0">
      <items count="13">
        <item x="0"/>
        <item x="1"/>
        <item x="2"/>
        <item x="3"/>
        <item x="4"/>
        <item x="5"/>
        <item x="6"/>
        <item x="7"/>
        <item x="8"/>
        <item x="9"/>
        <item x="10"/>
        <item x="11"/>
        <item t="default"/>
      </items>
    </pivotField>
    <pivotField dataField="1" numFmtId="43" showAll="0"/>
    <pivotField dataField="1" numFmtId="43" showAll="0"/>
    <pivotField showAll="0"/>
    <pivotField showAll="0"/>
    <pivotField showAll="0"/>
    <pivotField showAll="0"/>
    <pivotField showAll="0"/>
    <pivotField numFmtId="43" showAll="0"/>
    <pivotField numFmtId="10" showAll="0"/>
    <pivotField numFmtId="10" showAll="0"/>
    <pivotField numFmtId="10" showAll="0"/>
    <pivotField numFmtId="10" showAll="0"/>
    <pivotField numFmtId="10" showAll="0" defaultSubtotal="0"/>
    <pivotField numFmtId="10" showAll="0" defaultSubtotal="0"/>
    <pivotField numFmtId="10" showAll="0" defaultSubtotal="0"/>
    <pivotField numFmtId="2" showAll="0" defaultSubtotal="0"/>
    <pivotField numFmtId="2" showAll="0" defaultSubtotal="0"/>
    <pivotField numFmtId="2" showAll="0" defaultSubtotal="0"/>
  </pivotFields>
  <rowFields count="2">
    <field x="0"/>
    <field x="1"/>
  </rowFields>
  <rowItems count="14">
    <i>
      <x v="3"/>
    </i>
    <i r="1">
      <x/>
    </i>
    <i r="1">
      <x v="1"/>
    </i>
    <i r="1">
      <x v="2"/>
    </i>
    <i r="1">
      <x v="3"/>
    </i>
    <i r="1">
      <x v="4"/>
    </i>
    <i r="1">
      <x v="5"/>
    </i>
    <i r="1">
      <x v="6"/>
    </i>
    <i r="1">
      <x v="7"/>
    </i>
    <i r="1">
      <x v="8"/>
    </i>
    <i r="1">
      <x v="9"/>
    </i>
    <i r="1">
      <x v="10"/>
    </i>
    <i r="1">
      <x v="11"/>
    </i>
    <i t="grand">
      <x/>
    </i>
  </rowItems>
  <colFields count="1">
    <field x="-2"/>
  </colFields>
  <colItems count="2">
    <i>
      <x/>
    </i>
    <i i="1">
      <x v="1"/>
    </i>
  </colItems>
  <dataFields count="2">
    <dataField name="Sum of Revenue" fld="2" baseField="0" baseItem="0"/>
    <dataField name="Operating Cost" fld="3" baseField="0" baseItem="0"/>
  </dataFields>
  <formats count="7">
    <format dxfId="786">
      <pivotArea type="all" dataOnly="0" outline="0" fieldPosition="0"/>
    </format>
    <format dxfId="787">
      <pivotArea outline="0" collapsedLevelsAreSubtotals="1" fieldPosition="0"/>
    </format>
    <format dxfId="788">
      <pivotArea field="0" type="button" dataOnly="0" labelOnly="1" outline="0" axis="axisRow" fieldPosition="0"/>
    </format>
    <format dxfId="789">
      <pivotArea dataOnly="0" labelOnly="1" fieldPosition="0">
        <references count="1">
          <reference field="0" count="0"/>
        </references>
      </pivotArea>
    </format>
    <format dxfId="790">
      <pivotArea dataOnly="0" labelOnly="1" grandRow="1" outline="0" fieldPosition="0"/>
    </format>
    <format dxfId="791">
      <pivotArea dataOnly="0" labelOnly="1" fieldPosition="0">
        <references count="2">
          <reference field="0" count="0" selected="0"/>
          <reference field="1" count="0"/>
        </references>
      </pivotArea>
    </format>
    <format dxfId="792">
      <pivotArea dataOnly="0" labelOnly="1" outline="0" fieldPosition="0">
        <references count="1">
          <reference field="4294967294" count="2">
            <x v="0"/>
            <x v="1"/>
          </reference>
        </references>
      </pivotArea>
    </format>
  </formats>
  <chartFormats count="4">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2" format="6"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sum_dwntm" cacheId="8"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1">
  <location ref="K4:L18" firstHeaderRow="1" firstDataRow="1" firstDataCol="1"/>
  <pivotFields count="20">
    <pivotField axis="axisRow" showAll="0">
      <items count="6">
        <item h="1" x="0"/>
        <item h="1" x="1"/>
        <item h="1" x="2"/>
        <item x="3"/>
        <item h="1" x="4"/>
        <item t="default"/>
      </items>
    </pivotField>
    <pivotField axis="axisRow" showAll="0">
      <items count="13">
        <item x="0"/>
        <item x="1"/>
        <item x="2"/>
        <item x="3"/>
        <item x="4"/>
        <item x="5"/>
        <item x="6"/>
        <item x="7"/>
        <item x="8"/>
        <item x="9"/>
        <item x="10"/>
        <item x="11"/>
        <item t="default"/>
      </items>
    </pivotField>
    <pivotField numFmtId="43" showAll="0"/>
    <pivotField numFmtId="43" showAll="0"/>
    <pivotField showAll="0"/>
    <pivotField showAll="0"/>
    <pivotField dataField="1" showAll="0"/>
    <pivotField showAll="0"/>
    <pivotField showAll="0"/>
    <pivotField numFmtId="43" showAll="0"/>
    <pivotField numFmtId="10" showAll="0"/>
    <pivotField numFmtId="10" showAll="0"/>
    <pivotField numFmtId="10" showAll="0"/>
    <pivotField numFmtId="10" showAll="0"/>
    <pivotField numFmtId="10" showAll="0" defaultSubtotal="0"/>
    <pivotField numFmtId="10" showAll="0" defaultSubtotal="0"/>
    <pivotField numFmtId="10" showAll="0" defaultSubtotal="0"/>
    <pivotField numFmtId="2" showAll="0" defaultSubtotal="0"/>
    <pivotField numFmtId="2" showAll="0" defaultSubtotal="0"/>
    <pivotField numFmtId="2" showAll="0" defaultSubtotal="0"/>
  </pivotFields>
  <rowFields count="2">
    <field x="0"/>
    <field x="1"/>
  </rowFields>
  <rowItems count="14">
    <i>
      <x v="3"/>
    </i>
    <i r="1">
      <x/>
    </i>
    <i r="1">
      <x v="1"/>
    </i>
    <i r="1">
      <x v="2"/>
    </i>
    <i r="1">
      <x v="3"/>
    </i>
    <i r="1">
      <x v="4"/>
    </i>
    <i r="1">
      <x v="5"/>
    </i>
    <i r="1">
      <x v="6"/>
    </i>
    <i r="1">
      <x v="7"/>
    </i>
    <i r="1">
      <x v="8"/>
    </i>
    <i r="1">
      <x v="9"/>
    </i>
    <i r="1">
      <x v="10"/>
    </i>
    <i r="1">
      <x v="11"/>
    </i>
    <i t="grand">
      <x/>
    </i>
  </rowItems>
  <colItems count="1">
    <i/>
  </colItems>
  <dataFields count="1">
    <dataField name="Sum of Downtime (hrs)" fld="6" baseField="0" baseItem="0"/>
  </dataFields>
  <formats count="7">
    <format dxfId="750">
      <pivotArea type="all" dataOnly="0" outline="0" fieldPosition="0"/>
    </format>
    <format dxfId="751">
      <pivotArea outline="0" collapsedLevelsAreSubtotals="1" fieldPosition="0"/>
    </format>
    <format dxfId="752">
      <pivotArea field="0" type="button" dataOnly="0" labelOnly="1" outline="0" axis="axisRow" fieldPosition="0"/>
    </format>
    <format dxfId="753">
      <pivotArea dataOnly="0" labelOnly="1" outline="0" axis="axisValues" fieldPosition="0"/>
    </format>
    <format dxfId="754">
      <pivotArea dataOnly="0" labelOnly="1" fieldPosition="0">
        <references count="1">
          <reference field="0" count="0"/>
        </references>
      </pivotArea>
    </format>
    <format dxfId="755">
      <pivotArea dataOnly="0" labelOnly="1" grandRow="1" outline="0" fieldPosition="0"/>
    </format>
    <format dxfId="756">
      <pivotArea dataOnly="0" labelOnly="1" fieldPosition="0">
        <references count="2">
          <reference field="0" count="0" selected="0"/>
          <reference field="1" count="0"/>
        </references>
      </pivotArea>
    </format>
  </format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ontime_vs_return_rate" cacheId="8"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6">
  <location ref="A48:C62" firstHeaderRow="0" firstDataRow="1" firstDataCol="1"/>
  <pivotFields count="20">
    <pivotField axis="axisRow" showAll="0">
      <items count="6">
        <item h="1" x="0"/>
        <item h="1" x="1"/>
        <item h="1" x="2"/>
        <item x="3"/>
        <item h="1" x="4"/>
        <item t="default"/>
      </items>
    </pivotField>
    <pivotField axis="axisRow" showAll="0">
      <items count="13">
        <item x="0"/>
        <item x="1"/>
        <item x="2"/>
        <item x="3"/>
        <item x="4"/>
        <item x="5"/>
        <item x="6"/>
        <item x="7"/>
        <item x="8"/>
        <item x="9"/>
        <item x="10"/>
        <item x="11"/>
        <item t="default"/>
      </items>
    </pivotField>
    <pivotField numFmtId="43" showAll="0"/>
    <pivotField numFmtId="43" showAll="0"/>
    <pivotField showAll="0"/>
    <pivotField showAll="0"/>
    <pivotField showAll="0"/>
    <pivotField showAll="0"/>
    <pivotField showAll="0"/>
    <pivotField numFmtId="43" showAll="0"/>
    <pivotField numFmtId="10" showAll="0"/>
    <pivotField numFmtId="10" showAll="0"/>
    <pivotField dataField="1" numFmtId="10" showAll="0"/>
    <pivotField numFmtId="10" showAll="0"/>
    <pivotField dataField="1" numFmtId="10" showAll="0"/>
    <pivotField numFmtId="10" showAll="0" defaultSubtotal="0"/>
    <pivotField numFmtId="10" showAll="0" defaultSubtotal="0"/>
    <pivotField numFmtId="2" showAll="0" defaultSubtotal="0"/>
    <pivotField numFmtId="2" showAll="0" defaultSubtotal="0"/>
    <pivotField numFmtId="2" showAll="0" defaultSubtotal="0"/>
  </pivotFields>
  <rowFields count="2">
    <field x="0"/>
    <field x="1"/>
  </rowFields>
  <rowItems count="14">
    <i>
      <x v="3"/>
    </i>
    <i r="1">
      <x/>
    </i>
    <i r="1">
      <x v="1"/>
    </i>
    <i r="1">
      <x v="2"/>
    </i>
    <i r="1">
      <x v="3"/>
    </i>
    <i r="1">
      <x v="4"/>
    </i>
    <i r="1">
      <x v="5"/>
    </i>
    <i r="1">
      <x v="6"/>
    </i>
    <i r="1">
      <x v="7"/>
    </i>
    <i r="1">
      <x v="8"/>
    </i>
    <i r="1">
      <x v="9"/>
    </i>
    <i r="1">
      <x v="10"/>
    </i>
    <i r="1">
      <x v="11"/>
    </i>
    <i t="grand">
      <x/>
    </i>
  </rowItems>
  <colFields count="1">
    <field x="-2"/>
  </colFields>
  <colItems count="2">
    <i>
      <x/>
    </i>
    <i i="1">
      <x v="1"/>
    </i>
  </colItems>
  <dataFields count="2">
    <dataField name="Average of On-Time Delivery (%)" fld="14" subtotal="average" baseField="0" baseItem="4"/>
    <dataField name="Average of Return Rate (%)" fld="12" subtotal="average" baseField="0" baseItem="4"/>
  </dataFields>
  <formats count="7">
    <format dxfId="757">
      <pivotArea type="all" dataOnly="0" outline="0" fieldPosition="0"/>
    </format>
    <format dxfId="758">
      <pivotArea outline="0" collapsedLevelsAreSubtotals="1" fieldPosition="0"/>
    </format>
    <format dxfId="759">
      <pivotArea field="0" type="button" dataOnly="0" labelOnly="1" outline="0" axis="axisRow" fieldPosition="0"/>
    </format>
    <format dxfId="760">
      <pivotArea dataOnly="0" labelOnly="1" fieldPosition="0">
        <references count="1">
          <reference field="0" count="0"/>
        </references>
      </pivotArea>
    </format>
    <format dxfId="761">
      <pivotArea dataOnly="0" labelOnly="1" grandRow="1" outline="0" fieldPosition="0"/>
    </format>
    <format dxfId="762">
      <pivotArea dataOnly="0" labelOnly="1" fieldPosition="0">
        <references count="2">
          <reference field="0" count="0" selected="0"/>
          <reference field="1" count="0"/>
        </references>
      </pivotArea>
    </format>
    <format dxfId="763">
      <pivotArea dataOnly="0" labelOnly="1" outline="0" fieldPosition="0">
        <references count="1">
          <reference field="4294967294" count="2">
            <x v="0"/>
            <x v="1"/>
          </reference>
        </references>
      </pivotArea>
    </format>
  </format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sum_return_rate" cacheId="8"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5">
  <location ref="E48:G62" firstHeaderRow="0" firstDataRow="1" firstDataCol="1"/>
  <pivotFields count="20">
    <pivotField axis="axisRow" showAll="0">
      <items count="6">
        <item h="1" x="0"/>
        <item h="1" x="1"/>
        <item h="1" x="2"/>
        <item x="3"/>
        <item h="1" x="4"/>
        <item t="default"/>
      </items>
    </pivotField>
    <pivotField axis="axisRow" showAll="0">
      <items count="13">
        <item x="0"/>
        <item x="1"/>
        <item x="2"/>
        <item x="3"/>
        <item x="4"/>
        <item x="5"/>
        <item x="6"/>
        <item x="7"/>
        <item x="8"/>
        <item x="9"/>
        <item x="10"/>
        <item x="11"/>
        <item t="default"/>
      </items>
    </pivotField>
    <pivotField numFmtId="43" showAll="0"/>
    <pivotField numFmtId="43" showAll="0"/>
    <pivotField showAll="0"/>
    <pivotField showAll="0"/>
    <pivotField showAll="0"/>
    <pivotField showAll="0"/>
    <pivotField showAll="0"/>
    <pivotField numFmtId="43" showAll="0"/>
    <pivotField numFmtId="10" showAll="0"/>
    <pivotField numFmtId="10" showAll="0"/>
    <pivotField dataField="1" numFmtId="10" showAll="0"/>
    <pivotField numFmtId="10" showAll="0"/>
    <pivotField dataField="1" numFmtId="10" showAll="0"/>
    <pivotField numFmtId="10" showAll="0"/>
    <pivotField numFmtId="10" showAll="0"/>
    <pivotField numFmtId="2" showAll="0" defaultSubtotal="0"/>
    <pivotField numFmtId="2" showAll="0" defaultSubtotal="0"/>
    <pivotField numFmtId="2" showAll="0" defaultSubtotal="0"/>
  </pivotFields>
  <rowFields count="2">
    <field x="0"/>
    <field x="1"/>
  </rowFields>
  <rowItems count="14">
    <i>
      <x v="3"/>
    </i>
    <i r="1">
      <x/>
    </i>
    <i r="1">
      <x v="1"/>
    </i>
    <i r="1">
      <x v="2"/>
    </i>
    <i r="1">
      <x v="3"/>
    </i>
    <i r="1">
      <x v="4"/>
    </i>
    <i r="1">
      <x v="5"/>
    </i>
    <i r="1">
      <x v="6"/>
    </i>
    <i r="1">
      <x v="7"/>
    </i>
    <i r="1">
      <x v="8"/>
    </i>
    <i r="1">
      <x v="9"/>
    </i>
    <i r="1">
      <x v="10"/>
    </i>
    <i r="1">
      <x v="11"/>
    </i>
    <i t="grand">
      <x/>
    </i>
  </rowItems>
  <colFields count="1">
    <field x="-2"/>
  </colFields>
  <colItems count="2">
    <i>
      <x/>
    </i>
    <i i="1">
      <x v="1"/>
    </i>
  </colItems>
  <dataFields count="2">
    <dataField name="Sum of On-Time Delivery (%)" fld="14" baseField="0" baseItem="0"/>
    <dataField name="Sum of Return Rate (%)" fld="12" baseField="0" baseItem="0"/>
  </dataFields>
  <formats count="7">
    <format dxfId="736">
      <pivotArea type="all" dataOnly="0" outline="0" fieldPosition="0"/>
    </format>
    <format dxfId="737">
      <pivotArea outline="0" collapsedLevelsAreSubtotals="1" fieldPosition="0"/>
    </format>
    <format dxfId="738">
      <pivotArea field="0" type="button" dataOnly="0" labelOnly="1" outline="0" axis="axisRow" fieldPosition="0"/>
    </format>
    <format dxfId="739">
      <pivotArea dataOnly="0" labelOnly="1" fieldPosition="0">
        <references count="1">
          <reference field="0" count="0"/>
        </references>
      </pivotArea>
    </format>
    <format dxfId="740">
      <pivotArea dataOnly="0" labelOnly="1" grandRow="1" outline="0" fieldPosition="0"/>
    </format>
    <format dxfId="741">
      <pivotArea dataOnly="0" labelOnly="1" fieldPosition="0">
        <references count="2">
          <reference field="0" count="0" selected="0"/>
          <reference field="1" count="0"/>
        </references>
      </pivotArea>
    </format>
    <format dxfId="742">
      <pivotArea dataOnly="0" labelOnly="1" outline="0" fieldPosition="0">
        <references count="1">
          <reference field="4294967294" count="2">
            <x v="0"/>
            <x v="1"/>
          </reference>
        </references>
      </pivotArea>
    </format>
  </format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avg_ontime_delivery" cacheId="8"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
  <location ref="Q4:R18" firstHeaderRow="1" firstDataRow="1" firstDataCol="1"/>
  <pivotFields count="20">
    <pivotField axis="axisRow" showAll="0">
      <items count="6">
        <item h="1" x="0"/>
        <item h="1" x="1"/>
        <item h="1" x="2"/>
        <item x="3"/>
        <item h="1" x="4"/>
        <item t="default"/>
      </items>
    </pivotField>
    <pivotField axis="axisRow" showAll="0">
      <items count="13">
        <item x="0"/>
        <item x="1"/>
        <item x="2"/>
        <item x="3"/>
        <item x="4"/>
        <item x="5"/>
        <item x="6"/>
        <item x="7"/>
        <item x="8"/>
        <item x="9"/>
        <item x="10"/>
        <item x="11"/>
        <item t="default"/>
      </items>
    </pivotField>
    <pivotField numFmtId="43" showAll="0"/>
    <pivotField numFmtId="43" showAll="0"/>
    <pivotField showAll="0"/>
    <pivotField showAll="0"/>
    <pivotField showAll="0"/>
    <pivotField showAll="0"/>
    <pivotField showAll="0"/>
    <pivotField numFmtId="43" showAll="0"/>
    <pivotField numFmtId="10" showAll="0"/>
    <pivotField numFmtId="10" showAll="0"/>
    <pivotField numFmtId="10" showAll="0"/>
    <pivotField numFmtId="10" showAll="0"/>
    <pivotField dataField="1" numFmtId="10" showAll="0" defaultSubtotal="0"/>
    <pivotField numFmtId="10" showAll="0" defaultSubtotal="0"/>
    <pivotField numFmtId="10" showAll="0" defaultSubtotal="0"/>
    <pivotField numFmtId="2" showAll="0" defaultSubtotal="0"/>
    <pivotField numFmtId="2" showAll="0" defaultSubtotal="0"/>
    <pivotField numFmtId="2" showAll="0" defaultSubtotal="0"/>
  </pivotFields>
  <rowFields count="2">
    <field x="0"/>
    <field x="1"/>
  </rowFields>
  <rowItems count="14">
    <i>
      <x v="3"/>
    </i>
    <i r="1">
      <x/>
    </i>
    <i r="1">
      <x v="1"/>
    </i>
    <i r="1">
      <x v="2"/>
    </i>
    <i r="1">
      <x v="3"/>
    </i>
    <i r="1">
      <x v="4"/>
    </i>
    <i r="1">
      <x v="5"/>
    </i>
    <i r="1">
      <x v="6"/>
    </i>
    <i r="1">
      <x v="7"/>
    </i>
    <i r="1">
      <x v="8"/>
    </i>
    <i r="1">
      <x v="9"/>
    </i>
    <i r="1">
      <x v="10"/>
    </i>
    <i r="1">
      <x v="11"/>
    </i>
    <i t="grand">
      <x/>
    </i>
  </rowItems>
  <colItems count="1">
    <i/>
  </colItems>
  <dataFields count="1">
    <dataField name="Average of On-Time Delivery (%)" fld="14" subtotal="average" baseField="0" baseItem="0"/>
  </dataFields>
  <formats count="7">
    <format dxfId="771">
      <pivotArea type="all" dataOnly="0" outline="0" fieldPosition="0"/>
    </format>
    <format dxfId="772">
      <pivotArea outline="0" collapsedLevelsAreSubtotals="1" fieldPosition="0"/>
    </format>
    <format dxfId="773">
      <pivotArea field="0" type="button" dataOnly="0" labelOnly="1" outline="0" axis="axisRow" fieldPosition="0"/>
    </format>
    <format dxfId="774">
      <pivotArea dataOnly="0" labelOnly="1" outline="0" axis="axisValues" fieldPosition="0"/>
    </format>
    <format dxfId="775">
      <pivotArea dataOnly="0" labelOnly="1" fieldPosition="0">
        <references count="1">
          <reference field="0" count="0"/>
        </references>
      </pivotArea>
    </format>
    <format dxfId="776">
      <pivotArea dataOnly="0" labelOnly="1" grandRow="1" outline="0" fieldPosition="0"/>
    </format>
    <format dxfId="777">
      <pivotArea dataOnly="0" labelOnly="1" fieldPosition="0">
        <references count="2">
          <reference field="0" count="0" selected="0"/>
          <reference field="1"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Avg_Profit_Margin" cacheId="8"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3">
  <location ref="E4:F18" firstHeaderRow="1" firstDataRow="1" firstDataCol="1"/>
  <pivotFields count="20">
    <pivotField axis="axisRow" showAll="0">
      <items count="6">
        <item h="1" x="0"/>
        <item h="1" x="1"/>
        <item h="1" x="2"/>
        <item x="3"/>
        <item h="1" x="4"/>
        <item t="default"/>
      </items>
    </pivotField>
    <pivotField axis="axisRow" showAll="0">
      <items count="13">
        <item x="0"/>
        <item x="1"/>
        <item x="2"/>
        <item x="3"/>
        <item x="4"/>
        <item x="5"/>
        <item x="6"/>
        <item x="7"/>
        <item x="8"/>
        <item x="9"/>
        <item x="10"/>
        <item x="11"/>
        <item t="default"/>
      </items>
    </pivotField>
    <pivotField numFmtId="43" showAll="0"/>
    <pivotField numFmtId="43" showAll="0"/>
    <pivotField showAll="0"/>
    <pivotField showAll="0"/>
    <pivotField showAll="0"/>
    <pivotField showAll="0"/>
    <pivotField showAll="0"/>
    <pivotField numFmtId="43" showAll="0"/>
    <pivotField dataField="1" numFmtId="10" showAll="0"/>
    <pivotField numFmtId="10" showAll="0"/>
    <pivotField numFmtId="10" showAll="0"/>
    <pivotField numFmtId="10" showAll="0"/>
    <pivotField numFmtId="10" showAll="0" defaultSubtotal="0"/>
    <pivotField numFmtId="10" showAll="0" defaultSubtotal="0"/>
    <pivotField numFmtId="10" showAll="0" defaultSubtotal="0"/>
    <pivotField numFmtId="2" showAll="0" defaultSubtotal="0"/>
    <pivotField numFmtId="2" showAll="0" defaultSubtotal="0"/>
    <pivotField numFmtId="2" showAll="0" defaultSubtotal="0"/>
  </pivotFields>
  <rowFields count="2">
    <field x="0"/>
    <field x="1"/>
  </rowFields>
  <rowItems count="14">
    <i>
      <x v="3"/>
    </i>
    <i r="1">
      <x/>
    </i>
    <i r="1">
      <x v="1"/>
    </i>
    <i r="1">
      <x v="2"/>
    </i>
    <i r="1">
      <x v="3"/>
    </i>
    <i r="1">
      <x v="4"/>
    </i>
    <i r="1">
      <x v="5"/>
    </i>
    <i r="1">
      <x v="6"/>
    </i>
    <i r="1">
      <x v="7"/>
    </i>
    <i r="1">
      <x v="8"/>
    </i>
    <i r="1">
      <x v="9"/>
    </i>
    <i r="1">
      <x v="10"/>
    </i>
    <i r="1">
      <x v="11"/>
    </i>
    <i t="grand">
      <x/>
    </i>
  </rowItems>
  <colItems count="1">
    <i/>
  </colItems>
  <dataFields count="1">
    <dataField name="Average of Profit Margin (%)" fld="10" subtotal="average" baseField="0" baseItem="0"/>
  </dataFields>
  <formats count="7">
    <format dxfId="779">
      <pivotArea type="all" dataOnly="0" outline="0" fieldPosition="0"/>
    </format>
    <format dxfId="780">
      <pivotArea outline="0" collapsedLevelsAreSubtotals="1" fieldPosition="0"/>
    </format>
    <format dxfId="781">
      <pivotArea field="0" type="button" dataOnly="0" labelOnly="1" outline="0" axis="axisRow" fieldPosition="0"/>
    </format>
    <format dxfId="782">
      <pivotArea dataOnly="0" labelOnly="1" outline="0" axis="axisValues" fieldPosition="0"/>
    </format>
    <format dxfId="783">
      <pivotArea dataOnly="0" labelOnly="1" fieldPosition="0">
        <references count="1">
          <reference field="0" count="0"/>
        </references>
      </pivotArea>
    </format>
    <format dxfId="784">
      <pivotArea dataOnly="0" labelOnly="1" grandRow="1" outline="0" fieldPosition="0"/>
    </format>
    <format dxfId="785">
      <pivotArea dataOnly="0" labelOnly="1" fieldPosition="0">
        <references count="2">
          <reference field="0" count="0" selected="0"/>
          <reference field="1" count="0"/>
        </references>
      </pivotArea>
    </format>
  </formats>
  <chartFormats count="1">
    <chartFormat chart="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sum_prod_vol" cacheId="8"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7">
  <location ref="H4:I18" firstHeaderRow="1" firstDataRow="1" firstDataCol="1"/>
  <pivotFields count="20">
    <pivotField axis="axisRow" showAll="0">
      <items count="6">
        <item h="1" x="0"/>
        <item h="1" x="1"/>
        <item h="1" x="2"/>
        <item x="3"/>
        <item h="1" x="4"/>
        <item t="default"/>
      </items>
    </pivotField>
    <pivotField axis="axisRow" showAll="0">
      <items count="13">
        <item x="0"/>
        <item x="1"/>
        <item x="2"/>
        <item x="3"/>
        <item x="4"/>
        <item x="5"/>
        <item x="6"/>
        <item x="7"/>
        <item x="8"/>
        <item x="9"/>
        <item x="10"/>
        <item x="11"/>
        <item t="default"/>
      </items>
    </pivotField>
    <pivotField numFmtId="43" showAll="0"/>
    <pivotField numFmtId="43" showAll="0"/>
    <pivotField dataField="1" showAll="0"/>
    <pivotField showAll="0"/>
    <pivotField showAll="0"/>
    <pivotField showAll="0"/>
    <pivotField showAll="0"/>
    <pivotField numFmtId="43" showAll="0"/>
    <pivotField numFmtId="10" showAll="0"/>
    <pivotField numFmtId="10" showAll="0"/>
    <pivotField numFmtId="10" showAll="0"/>
    <pivotField numFmtId="10" showAll="0"/>
    <pivotField numFmtId="10" showAll="0" defaultSubtotal="0"/>
    <pivotField numFmtId="10" showAll="0" defaultSubtotal="0"/>
    <pivotField numFmtId="10" showAll="0" defaultSubtotal="0"/>
    <pivotField numFmtId="2" showAll="0" defaultSubtotal="0"/>
    <pivotField numFmtId="2" showAll="0" defaultSubtotal="0"/>
    <pivotField numFmtId="2" showAll="0" defaultSubtotal="0"/>
  </pivotFields>
  <rowFields count="2">
    <field x="0"/>
    <field x="1"/>
  </rowFields>
  <rowItems count="14">
    <i>
      <x v="3"/>
    </i>
    <i r="1">
      <x/>
    </i>
    <i r="1">
      <x v="1"/>
    </i>
    <i r="1">
      <x v="2"/>
    </i>
    <i r="1">
      <x v="3"/>
    </i>
    <i r="1">
      <x v="4"/>
    </i>
    <i r="1">
      <x v="5"/>
    </i>
    <i r="1">
      <x v="6"/>
    </i>
    <i r="1">
      <x v="7"/>
    </i>
    <i r="1">
      <x v="8"/>
    </i>
    <i r="1">
      <x v="9"/>
    </i>
    <i r="1">
      <x v="10"/>
    </i>
    <i r="1">
      <x v="11"/>
    </i>
    <i t="grand">
      <x/>
    </i>
  </rowItems>
  <colItems count="1">
    <i/>
  </colItems>
  <dataFields count="1">
    <dataField name="Sum of Production Volume" fld="4" baseField="0" baseItem="0"/>
  </dataFields>
  <formats count="7">
    <format dxfId="743">
      <pivotArea type="all" dataOnly="0" outline="0" fieldPosition="0"/>
    </format>
    <format dxfId="744">
      <pivotArea outline="0" collapsedLevelsAreSubtotals="1" fieldPosition="0"/>
    </format>
    <format dxfId="745">
      <pivotArea field="0" type="button" dataOnly="0" labelOnly="1" outline="0" axis="axisRow" fieldPosition="0"/>
    </format>
    <format dxfId="746">
      <pivotArea dataOnly="0" labelOnly="1" outline="0" axis="axisValues" fieldPosition="0"/>
    </format>
    <format dxfId="747">
      <pivotArea dataOnly="0" labelOnly="1" fieldPosition="0">
        <references count="1">
          <reference field="0" count="0"/>
        </references>
      </pivotArea>
    </format>
    <format dxfId="748">
      <pivotArea dataOnly="0" labelOnly="1" grandRow="1" outline="0" fieldPosition="0"/>
    </format>
    <format dxfId="749">
      <pivotArea dataOnly="0" labelOnly="1" fieldPosition="0">
        <references count="2">
          <reference field="0" count="0" selected="0"/>
          <reference field="1" count="0"/>
        </references>
      </pivotArea>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ontime_return_units" cacheId="8"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N4:P18" firstHeaderRow="0" firstDataRow="1" firstDataCol="1"/>
  <pivotFields count="20">
    <pivotField axis="axisRow" showAll="0">
      <items count="6">
        <item h="1" x="0"/>
        <item h="1" x="1"/>
        <item h="1" x="2"/>
        <item x="3"/>
        <item h="1" x="4"/>
        <item t="default"/>
      </items>
    </pivotField>
    <pivotField axis="axisRow" showAll="0">
      <items count="13">
        <item x="0"/>
        <item x="1"/>
        <item x="2"/>
        <item x="3"/>
        <item x="4"/>
        <item x="5"/>
        <item x="6"/>
        <item x="7"/>
        <item x="8"/>
        <item x="9"/>
        <item x="10"/>
        <item x="11"/>
        <item t="default"/>
      </items>
    </pivotField>
    <pivotField numFmtId="43" showAll="0"/>
    <pivotField numFmtId="43" showAll="0"/>
    <pivotField showAll="0"/>
    <pivotField showAll="0"/>
    <pivotField showAll="0"/>
    <pivotField showAll="0"/>
    <pivotField dataField="1" showAll="0"/>
    <pivotField numFmtId="43" showAll="0"/>
    <pivotField numFmtId="10" showAll="0"/>
    <pivotField numFmtId="10" showAll="0"/>
    <pivotField numFmtId="10" showAll="0"/>
    <pivotField numFmtId="10" showAll="0"/>
    <pivotField dataField="1" numFmtId="10" showAll="0"/>
    <pivotField numFmtId="10" showAll="0" defaultSubtotal="0"/>
    <pivotField numFmtId="10" showAll="0" defaultSubtotal="0"/>
    <pivotField numFmtId="2" showAll="0" defaultSubtotal="0"/>
    <pivotField numFmtId="2" showAll="0" defaultSubtotal="0"/>
    <pivotField numFmtId="2" showAll="0" defaultSubtotal="0"/>
  </pivotFields>
  <rowFields count="2">
    <field x="0"/>
    <field x="1"/>
  </rowFields>
  <rowItems count="14">
    <i>
      <x v="3"/>
    </i>
    <i r="1">
      <x/>
    </i>
    <i r="1">
      <x v="1"/>
    </i>
    <i r="1">
      <x v="2"/>
    </i>
    <i r="1">
      <x v="3"/>
    </i>
    <i r="1">
      <x v="4"/>
    </i>
    <i r="1">
      <x v="5"/>
    </i>
    <i r="1">
      <x v="6"/>
    </i>
    <i r="1">
      <x v="7"/>
    </i>
    <i r="1">
      <x v="8"/>
    </i>
    <i r="1">
      <x v="9"/>
    </i>
    <i r="1">
      <x v="10"/>
    </i>
    <i r="1">
      <x v="11"/>
    </i>
    <i t="grand">
      <x/>
    </i>
  </rowItems>
  <colFields count="1">
    <field x="-2"/>
  </colFields>
  <colItems count="2">
    <i>
      <x/>
    </i>
    <i i="1">
      <x v="1"/>
    </i>
  </colItems>
  <dataFields count="2">
    <dataField name="Sum of On-Time Delivery (%)" fld="14" baseField="0" baseItem="0"/>
    <dataField name="Sum of Return Units" fld="8" baseField="0" baseItem="0"/>
  </dataFields>
  <formats count="7">
    <format dxfId="764">
      <pivotArea type="all" dataOnly="0" outline="0" fieldPosition="0"/>
    </format>
    <format dxfId="765">
      <pivotArea outline="0" collapsedLevelsAreSubtotals="1" fieldPosition="0"/>
    </format>
    <format dxfId="766">
      <pivotArea field="0" type="button" dataOnly="0" labelOnly="1" outline="0" axis="axisRow" fieldPosition="0"/>
    </format>
    <format dxfId="767">
      <pivotArea dataOnly="0" labelOnly="1" fieldPosition="0">
        <references count="1">
          <reference field="0" count="0"/>
        </references>
      </pivotArea>
    </format>
    <format dxfId="768">
      <pivotArea dataOnly="0" labelOnly="1" grandRow="1" outline="0" fieldPosition="0"/>
    </format>
    <format dxfId="769">
      <pivotArea dataOnly="0" labelOnly="1" fieldPosition="0">
        <references count="2">
          <reference field="0" count="0" selected="0"/>
          <reference field="1" count="0"/>
        </references>
      </pivotArea>
    </format>
    <format dxfId="770">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avg_customer_satisfaction" cacheId="8" dataOnRows="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0">
  <location ref="T4:V9" firstHeaderRow="1" firstDataRow="2" firstDataCol="1"/>
  <pivotFields count="20">
    <pivotField axis="axisCol" showAll="0">
      <items count="6">
        <item h="1" x="0"/>
        <item h="1" x="1"/>
        <item h="1" x="2"/>
        <item x="3"/>
        <item h="1" x="4"/>
        <item t="default"/>
      </items>
    </pivotField>
    <pivotField showAll="0">
      <items count="13">
        <item x="0"/>
        <item x="1"/>
        <item x="2"/>
        <item x="3"/>
        <item x="4"/>
        <item x="5"/>
        <item x="6"/>
        <item x="7"/>
        <item x="8"/>
        <item x="9"/>
        <item x="10"/>
        <item x="11"/>
        <item t="default"/>
      </items>
    </pivotField>
    <pivotField numFmtId="43" showAll="0"/>
    <pivotField numFmtId="43" showAll="0"/>
    <pivotField showAll="0"/>
    <pivotField showAll="0"/>
    <pivotField showAll="0"/>
    <pivotField showAll="0"/>
    <pivotField showAll="0"/>
    <pivotField numFmtId="43" showAll="0"/>
    <pivotField numFmtId="10" showAll="0"/>
    <pivotField numFmtId="10" showAll="0"/>
    <pivotField numFmtId="10" showAll="0"/>
    <pivotField numFmtId="10" showAll="0"/>
    <pivotField dataField="1" numFmtId="10" showAll="0"/>
    <pivotField numFmtId="10" showAll="0"/>
    <pivotField numFmtId="10" showAll="0"/>
    <pivotField dataField="1" numFmtId="10" showAll="0"/>
    <pivotField dataField="1" numFmtId="10" showAll="0"/>
    <pivotField dataField="1" numFmtId="10" showAll="0"/>
  </pivotFields>
  <rowFields count="1">
    <field x="-2"/>
  </rowFields>
  <rowItems count="4">
    <i>
      <x/>
    </i>
    <i i="1">
      <x v="1"/>
    </i>
    <i i="2">
      <x v="2"/>
    </i>
    <i i="3">
      <x v="3"/>
    </i>
  </rowItems>
  <colFields count="1">
    <field x="0"/>
  </colFields>
  <colItems count="2">
    <i>
      <x v="3"/>
    </i>
    <i t="grand">
      <x/>
    </i>
  </colItems>
  <dataFields count="4">
    <dataField name="Average of On-Time Delivery (%)" fld="14" subtotal="average" baseField="0" baseItem="0"/>
    <dataField name="Average of Product Quality (%)" fld="17" subtotal="average" baseField="0" baseItem="0"/>
    <dataField name="Average of Service Responsiveness (%)" fld="18" subtotal="average" baseField="0" baseItem="0"/>
    <dataField name="Average of Customer Feedback Score (%)" fld="19" subtotal="average" baseField="0" baseItem="0"/>
  </dataFields>
  <formats count="1">
    <format dxfId="778">
      <pivotArea type="all" dataOnly="0" outline="0" fieldPosition="0"/>
    </format>
  </formats>
  <chartFormats count="9">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2"/>
          </reference>
        </references>
      </pivotArea>
    </chartFormat>
    <chartFormat chart="2" format="3" series="1">
      <pivotArea type="data" outline="0" fieldPosition="0">
        <references count="1">
          <reference field="4294967294" count="1" selected="0">
            <x v="3"/>
          </reference>
        </references>
      </pivotArea>
    </chartFormat>
    <chartFormat chart="4" format="9" series="1">
      <pivotArea type="data" outline="0" fieldPosition="0">
        <references count="2">
          <reference field="4294967294" count="1" selected="0">
            <x v="0"/>
          </reference>
          <reference field="0" count="1" selected="0">
            <x v="0"/>
          </reference>
        </references>
      </pivotArea>
    </chartFormat>
    <chartFormat chart="4" format="10" series="1">
      <pivotArea type="data" outline="0" fieldPosition="0">
        <references count="2">
          <reference field="4294967294" count="1" selected="0">
            <x v="0"/>
          </reference>
          <reference field="0" count="1" selected="0">
            <x v="1"/>
          </reference>
        </references>
      </pivotArea>
    </chartFormat>
    <chartFormat chart="4" format="11" series="1">
      <pivotArea type="data" outline="0" fieldPosition="0">
        <references count="2">
          <reference field="4294967294" count="1" selected="0">
            <x v="0"/>
          </reference>
          <reference field="0" count="1" selected="0">
            <x v="2"/>
          </reference>
        </references>
      </pivotArea>
    </chartFormat>
    <chartFormat chart="4" format="12" series="1">
      <pivotArea type="data" outline="0" fieldPosition="0">
        <references count="2">
          <reference field="4294967294" count="1" selected="0">
            <x v="0"/>
          </reference>
          <reference field="0" count="1" selected="0">
            <x v="3"/>
          </reference>
        </references>
      </pivotArea>
    </chartFormat>
    <chartFormat chart="4" format="13" series="1">
      <pivotArea type="data" outline="0" fieldPosition="0">
        <references count="2">
          <reference field="4294967294" count="1" selected="0">
            <x v="0"/>
          </reference>
          <reference field="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8" cacheId="8"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22:A23" firstHeaderRow="1" firstDataRow="1" firstDataCol="0"/>
  <pivotFields count="20">
    <pivotField showAll="0"/>
    <pivotField showAll="0"/>
    <pivotField numFmtId="43" showAll="0"/>
    <pivotField numFmtId="43" showAll="0"/>
    <pivotField showAll="0"/>
    <pivotField showAll="0"/>
    <pivotField showAll="0"/>
    <pivotField showAll="0"/>
    <pivotField showAll="0"/>
    <pivotField numFmtId="43" showAll="0"/>
    <pivotField numFmtId="10" showAll="0"/>
    <pivotField numFmtId="10" showAll="0"/>
    <pivotField numFmtId="10" showAll="0"/>
    <pivotField numFmtId="10" showAll="0"/>
    <pivotField dataField="1" numFmtId="10" showAll="0"/>
    <pivotField numFmtId="10" showAll="0"/>
    <pivotField numFmtId="10" showAll="0"/>
    <pivotField numFmtId="10" showAll="0"/>
    <pivotField numFmtId="10" showAll="0"/>
    <pivotField numFmtId="10" showAll="0"/>
  </pivotFields>
  <rowItems count="1">
    <i/>
  </rowItems>
  <colItems count="1">
    <i/>
  </colItems>
  <dataFields count="1">
    <dataField name="Average of On-Time Delivery (%)" fld="14" subtotal="average" baseField="0" baseItem="572252176" numFmtId="10"/>
  </dataFields>
  <formats count="1">
    <format dxfId="79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1.xml><?xml version="1.0" encoding="utf-8"?>
<pivotTableDefinition xmlns="http://schemas.openxmlformats.org/spreadsheetml/2006/main" name="avg_feedback_score" cacheId="8"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3">
  <location ref="R4:S10" firstHeaderRow="1" firstDataRow="1" firstDataCol="1"/>
  <pivotFields count="20">
    <pivotField axis="axisRow" showAll="0">
      <items count="6">
        <item x="0"/>
        <item x="1"/>
        <item x="2"/>
        <item x="3"/>
        <item x="4"/>
        <item t="default"/>
      </items>
    </pivotField>
    <pivotField showAll="0"/>
    <pivotField numFmtId="43" showAll="0"/>
    <pivotField numFmtId="43" showAll="0"/>
    <pivotField showAll="0"/>
    <pivotField showAll="0"/>
    <pivotField showAll="0"/>
    <pivotField showAll="0"/>
    <pivotField showAll="0"/>
    <pivotField numFmtId="43" showAll="0"/>
    <pivotField numFmtId="10" showAll="0"/>
    <pivotField numFmtId="10" showAll="0"/>
    <pivotField numFmtId="10" showAll="0"/>
    <pivotField numFmtId="10" showAll="0"/>
    <pivotField numFmtId="10" showAll="0"/>
    <pivotField numFmtId="10" showAll="0"/>
    <pivotField numFmtId="10" showAll="0"/>
    <pivotField numFmtId="10" showAll="0"/>
    <pivotField numFmtId="10" showAll="0"/>
    <pivotField dataField="1" numFmtId="10" showAll="0"/>
  </pivotFields>
  <rowFields count="1">
    <field x="0"/>
  </rowFields>
  <rowItems count="6">
    <i>
      <x/>
    </i>
    <i>
      <x v="1"/>
    </i>
    <i>
      <x v="2"/>
    </i>
    <i>
      <x v="3"/>
    </i>
    <i>
      <x v="4"/>
    </i>
    <i t="grand">
      <x/>
    </i>
  </rowItems>
  <colItems count="1">
    <i/>
  </colItems>
  <dataFields count="1">
    <dataField name="Average of Customer Feedback Score (%)" fld="19" subtotal="average"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2.xml><?xml version="1.0" encoding="utf-8"?>
<pivotTableDefinition xmlns="http://schemas.openxmlformats.org/spreadsheetml/2006/main" name="avg_ontime_delivery" cacheId="8"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O4:P10" firstHeaderRow="1" firstDataRow="1" firstDataCol="1"/>
  <pivotFields count="20">
    <pivotField axis="axisRow" showAll="0">
      <items count="6">
        <item x="0"/>
        <item x="1"/>
        <item x="2"/>
        <item x="3"/>
        <item x="4"/>
        <item t="default"/>
      </items>
    </pivotField>
    <pivotField showAll="0"/>
    <pivotField numFmtId="43" showAll="0"/>
    <pivotField numFmtId="43" showAll="0"/>
    <pivotField showAll="0"/>
    <pivotField showAll="0"/>
    <pivotField showAll="0"/>
    <pivotField showAll="0"/>
    <pivotField showAll="0"/>
    <pivotField numFmtId="43" showAll="0"/>
    <pivotField numFmtId="10" showAll="0"/>
    <pivotField numFmtId="10" showAll="0"/>
    <pivotField numFmtId="10" showAll="0"/>
    <pivotField numFmtId="10" showAll="0"/>
    <pivotField dataField="1" numFmtId="10" showAll="0"/>
    <pivotField numFmtId="10" showAll="0"/>
    <pivotField numFmtId="10" showAll="0"/>
    <pivotField numFmtId="10" showAll="0"/>
    <pivotField numFmtId="10" showAll="0"/>
    <pivotField numFmtId="10" showAll="0"/>
  </pivotFields>
  <rowFields count="1">
    <field x="0"/>
  </rowFields>
  <rowItems count="6">
    <i>
      <x/>
    </i>
    <i>
      <x v="1"/>
    </i>
    <i>
      <x v="2"/>
    </i>
    <i>
      <x v="3"/>
    </i>
    <i>
      <x v="4"/>
    </i>
    <i t="grand">
      <x/>
    </i>
  </rowItems>
  <colItems count="1">
    <i/>
  </colItems>
  <dataFields count="1">
    <dataField name="Sum of On-Time Delivery (%)" fld="1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3.xml><?xml version="1.0" encoding="utf-8"?>
<pivotTableDefinition xmlns="http://schemas.openxmlformats.org/spreadsheetml/2006/main" name="avg_profit_margin" cacheId="8"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3">
  <location ref="L4:M10" firstHeaderRow="1" firstDataRow="1" firstDataCol="1"/>
  <pivotFields count="20">
    <pivotField axis="axisRow" showAll="0">
      <items count="6">
        <item x="0"/>
        <item x="1"/>
        <item x="2"/>
        <item x="3"/>
        <item x="4"/>
        <item t="default"/>
      </items>
    </pivotField>
    <pivotField showAll="0"/>
    <pivotField numFmtId="43" showAll="0"/>
    <pivotField numFmtId="43" showAll="0"/>
    <pivotField showAll="0"/>
    <pivotField showAll="0"/>
    <pivotField showAll="0"/>
    <pivotField showAll="0"/>
    <pivotField showAll="0"/>
    <pivotField numFmtId="43" showAll="0"/>
    <pivotField dataField="1" numFmtId="10" showAll="0"/>
    <pivotField numFmtId="10" showAll="0"/>
    <pivotField numFmtId="10" showAll="0"/>
    <pivotField numFmtId="10" showAll="0"/>
    <pivotField numFmtId="10" showAll="0"/>
    <pivotField numFmtId="10" showAll="0"/>
    <pivotField numFmtId="10" showAll="0"/>
    <pivotField numFmtId="10" showAll="0"/>
    <pivotField numFmtId="10" showAll="0"/>
    <pivotField numFmtId="10" showAll="0"/>
  </pivotFields>
  <rowFields count="1">
    <field x="0"/>
  </rowFields>
  <rowItems count="6">
    <i>
      <x/>
    </i>
    <i>
      <x v="1"/>
    </i>
    <i>
      <x v="2"/>
    </i>
    <i>
      <x v="3"/>
    </i>
    <i>
      <x v="4"/>
    </i>
    <i t="grand">
      <x/>
    </i>
  </rowItems>
  <colItems count="1">
    <i/>
  </colItems>
  <dataFields count="1">
    <dataField name="Average of Profit Margin (%)" fld="10" subtotal="average"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4.xml><?xml version="1.0" encoding="utf-8"?>
<pivotTableDefinition xmlns="http://schemas.openxmlformats.org/spreadsheetml/2006/main" name="gross_profit_sum" cacheId="8"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6">
  <location ref="I4:J10" firstHeaderRow="1" firstDataRow="1" firstDataCol="1"/>
  <pivotFields count="20">
    <pivotField axis="axisRow" showAll="0">
      <items count="6">
        <item x="0"/>
        <item x="1"/>
        <item x="2"/>
        <item x="3"/>
        <item x="4"/>
        <item t="default"/>
      </items>
    </pivotField>
    <pivotField showAll="0"/>
    <pivotField numFmtId="43" showAll="0"/>
    <pivotField numFmtId="43" showAll="0"/>
    <pivotField showAll="0"/>
    <pivotField showAll="0"/>
    <pivotField showAll="0"/>
    <pivotField showAll="0"/>
    <pivotField showAll="0"/>
    <pivotField dataField="1" numFmtId="43" showAll="0"/>
    <pivotField numFmtId="10" showAll="0"/>
    <pivotField numFmtId="10" showAll="0"/>
    <pivotField numFmtId="10" showAll="0"/>
    <pivotField numFmtId="10" showAll="0"/>
    <pivotField numFmtId="10" showAll="0"/>
    <pivotField numFmtId="10" showAll="0"/>
    <pivotField numFmtId="10" showAll="0"/>
    <pivotField numFmtId="10" showAll="0"/>
    <pivotField numFmtId="10" showAll="0"/>
    <pivotField numFmtId="10" showAll="0"/>
  </pivotFields>
  <rowFields count="1">
    <field x="0"/>
  </rowFields>
  <rowItems count="6">
    <i>
      <x/>
    </i>
    <i>
      <x v="1"/>
    </i>
    <i>
      <x v="2"/>
    </i>
    <i>
      <x v="3"/>
    </i>
    <i>
      <x v="4"/>
    </i>
    <i t="grand">
      <x/>
    </i>
  </rowItems>
  <colItems count="1">
    <i/>
  </colItems>
  <dataFields count="1">
    <dataField name="Sum of Gross Profit" fld="9" baseField="0" baseItem="0"/>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5.xml><?xml version="1.0" encoding="utf-8"?>
<pivotTableDefinition xmlns="http://schemas.openxmlformats.org/spreadsheetml/2006/main" name="opexp_sum" cacheId="8"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3">
  <location ref="F4:G10" firstHeaderRow="1" firstDataRow="1" firstDataCol="1"/>
  <pivotFields count="20">
    <pivotField axis="axisRow" showAll="0">
      <items count="6">
        <item x="0"/>
        <item x="1"/>
        <item x="2"/>
        <item x="3"/>
        <item x="4"/>
        <item t="default"/>
      </items>
    </pivotField>
    <pivotField showAll="0"/>
    <pivotField numFmtId="43" showAll="0"/>
    <pivotField dataField="1" numFmtId="43" showAll="0"/>
    <pivotField showAll="0"/>
    <pivotField showAll="0"/>
    <pivotField showAll="0"/>
    <pivotField showAll="0"/>
    <pivotField showAll="0"/>
    <pivotField numFmtId="43" showAll="0"/>
    <pivotField numFmtId="10" showAll="0"/>
    <pivotField numFmtId="10" showAll="0"/>
    <pivotField numFmtId="10" showAll="0"/>
    <pivotField numFmtId="10" showAll="0"/>
    <pivotField numFmtId="10" showAll="0"/>
    <pivotField numFmtId="10" showAll="0"/>
    <pivotField numFmtId="10" showAll="0"/>
    <pivotField numFmtId="10" showAll="0"/>
    <pivotField numFmtId="10" showAll="0"/>
    <pivotField numFmtId="10" showAll="0"/>
  </pivotFields>
  <rowFields count="1">
    <field x="0"/>
  </rowFields>
  <rowItems count="6">
    <i>
      <x/>
    </i>
    <i>
      <x v="1"/>
    </i>
    <i>
      <x v="2"/>
    </i>
    <i>
      <x v="3"/>
    </i>
    <i>
      <x v="4"/>
    </i>
    <i t="grand">
      <x/>
    </i>
  </rowItems>
  <colItems count="1">
    <i/>
  </colItems>
  <dataFields count="1">
    <dataField name="Sum of Operating Expense" fld="3"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6.xml><?xml version="1.0" encoding="utf-8"?>
<pivotTableDefinition xmlns="http://schemas.openxmlformats.org/spreadsheetml/2006/main" name="revenue_sum" cacheId="8"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3">
  <location ref="C4:D10" firstHeaderRow="1" firstDataRow="1" firstDataCol="1"/>
  <pivotFields count="20">
    <pivotField axis="axisRow" showAll="0">
      <items count="6">
        <item x="0"/>
        <item x="1"/>
        <item x="2"/>
        <item x="3"/>
        <item x="4"/>
        <item t="default"/>
      </items>
    </pivotField>
    <pivotField showAll="0"/>
    <pivotField dataField="1" numFmtId="43" showAll="0"/>
    <pivotField numFmtId="43" showAll="0"/>
    <pivotField showAll="0"/>
    <pivotField showAll="0"/>
    <pivotField showAll="0"/>
    <pivotField showAll="0"/>
    <pivotField showAll="0"/>
    <pivotField numFmtId="43" showAll="0"/>
    <pivotField numFmtId="10" showAll="0"/>
    <pivotField numFmtId="10" showAll="0"/>
    <pivotField numFmtId="10" showAll="0"/>
    <pivotField numFmtId="10" showAll="0"/>
    <pivotField numFmtId="10" showAll="0"/>
    <pivotField numFmtId="10" showAll="0"/>
    <pivotField numFmtId="10" showAll="0"/>
    <pivotField numFmtId="10" showAll="0"/>
    <pivotField numFmtId="10" showAll="0"/>
    <pivotField numFmtId="10" showAll="0"/>
  </pivotFields>
  <rowFields count="1">
    <field x="0"/>
  </rowFields>
  <rowItems count="6">
    <i>
      <x/>
    </i>
    <i>
      <x v="1"/>
    </i>
    <i>
      <x v="2"/>
    </i>
    <i>
      <x v="3"/>
    </i>
    <i>
      <x v="4"/>
    </i>
    <i t="grand">
      <x/>
    </i>
  </rowItems>
  <colItems count="1">
    <i/>
  </colItems>
  <dataFields count="1">
    <dataField name="Sum of Revenue" fld="2"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7.xml><?xml version="1.0" encoding="utf-8"?>
<pivotTableDefinition xmlns="http://schemas.openxmlformats.org/spreadsheetml/2006/main" name="defect_rate" cacheId="8"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4:A5" firstHeaderRow="1" firstDataRow="1" firstDataCol="0"/>
  <pivotFields count="20">
    <pivotField showAll="0">
      <items count="6">
        <item h="1" x="0"/>
        <item h="1" x="1"/>
        <item h="1" x="2"/>
        <item x="3"/>
        <item h="1" x="4"/>
        <item t="default"/>
      </items>
    </pivotField>
    <pivotField showAll="0">
      <items count="13">
        <item x="0"/>
        <item x="1"/>
        <item x="2"/>
        <item x="3"/>
        <item x="4"/>
        <item x="5"/>
        <item x="6"/>
        <item x="7"/>
        <item x="8"/>
        <item x="9"/>
        <item x="10"/>
        <item x="11"/>
        <item t="default"/>
      </items>
    </pivotField>
    <pivotField numFmtId="43" showAll="0"/>
    <pivotField numFmtId="43" showAll="0"/>
    <pivotField showAll="0"/>
    <pivotField showAll="0"/>
    <pivotField showAll="0"/>
    <pivotField showAll="0"/>
    <pivotField showAll="0"/>
    <pivotField numFmtId="43" showAll="0"/>
    <pivotField numFmtId="10" showAll="0"/>
    <pivotField dataField="1" numFmtId="10" showAll="0"/>
    <pivotField numFmtId="10" showAll="0"/>
    <pivotField numFmtId="10" showAll="0"/>
    <pivotField numFmtId="10" showAll="0"/>
    <pivotField numFmtId="10" showAll="0" defaultSubtotal="0"/>
    <pivotField numFmtId="10" showAll="0" defaultSubtotal="0"/>
    <pivotField numFmtId="2" showAll="0" defaultSubtotal="0"/>
    <pivotField numFmtId="2" showAll="0" defaultSubtotal="0"/>
    <pivotField numFmtId="2" showAll="0" defaultSubtotal="0"/>
  </pivotFields>
  <rowItems count="1">
    <i/>
  </rowItems>
  <colItems count="1">
    <i/>
  </colItems>
  <dataFields count="1">
    <dataField name="Average of Defect Rate (%)" fld="11" subtotal="average" baseField="0" baseItem="1068490336" numFmtId="10"/>
  </dataFields>
  <formats count="4">
    <format dxfId="732">
      <pivotArea outline="0" collapsedLevelsAreSubtotals="1" fieldPosition="0"/>
    </format>
    <format dxfId="733">
      <pivotArea type="all" dataOnly="0" outline="0" fieldPosition="0"/>
    </format>
    <format dxfId="734">
      <pivotArea outline="0" collapsedLevelsAreSubtotals="1" fieldPosition="0"/>
    </format>
    <format dxfId="73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Year1" sourceName="Year">
  <pivotTables>
    <pivotTable tabId="5" name="opexp_revn"/>
    <pivotTable tabId="5" name="Avg_Profit_Margin"/>
    <pivotTable tabId="5" name="avg_customer_satisfaction"/>
    <pivotTable tabId="5" name="avg_ontime_delivery"/>
    <pivotTable tabId="5" name="ontime_return_units"/>
    <pivotTable tabId="5" name="ontime_vs_return_rate"/>
    <pivotTable tabId="5" name="sum_dwntm"/>
    <pivotTable tabId="5" name="sum_prod_vol"/>
    <pivotTable tabId="5" name="sum_return_rate"/>
    <pivotTable tabId="8" name="defect_rate"/>
  </pivotTables>
  <data>
    <tabular pivotCacheId="3">
      <items count="5">
        <i x="0"/>
        <i x="1"/>
        <i x="2"/>
        <i x="3" s="1"/>
        <i x="4"/>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Month1" sourceName="Month">
  <pivotTables>
    <pivotTable tabId="5" name="opexp_revn"/>
    <pivotTable tabId="5" name="Avg_Profit_Margin"/>
    <pivotTable tabId="5" name="avg_customer_satisfaction"/>
    <pivotTable tabId="5" name="avg_ontime_delivery"/>
    <pivotTable tabId="5" name="ontime_return_units"/>
    <pivotTable tabId="5" name="ontime_vs_return_rate"/>
    <pivotTable tabId="5" name="sum_dwntm"/>
    <pivotTable tabId="5" name="sum_prod_vol"/>
    <pivotTable tabId="5" name="sum_return_rate"/>
    <pivotTable tabId="8" name="defect_rate"/>
  </pivotTables>
  <data>
    <tabular pivotCacheId="3">
      <items count="12">
        <i x="0" s="1"/>
        <i x="1" s="1"/>
        <i x="2" s="1"/>
        <i x="3" s="1"/>
        <i x="4" s="1"/>
        <i x="5" s="1"/>
        <i x="6" s="1"/>
        <i x="7" s="1"/>
        <i x="8" s="1"/>
        <i x="9" s="1"/>
        <i x="10" s="1"/>
        <i x="1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Years" cache="Slicer_Year1" caption="Year" showCaption="0" style="SlicerStyleLight2" rowHeight="256032"/>
  <slicer name="Month 1" cache="Slicer_Month1" caption="Month" style="SlicerStyleLight2" rowHeight="241300"/>
</slicers>
</file>

<file path=xl/tables/table1.xml><?xml version="1.0" encoding="utf-8"?>
<table xmlns="http://schemas.openxmlformats.org/spreadsheetml/2006/main" id="1" name="CompanyData" displayName="CompanyData" ref="A4:T64" totalsRowShown="0" headerRowDxfId="815" dataDxfId="814">
  <tableColumns count="20">
    <tableColumn id="1" name="Year" dataDxfId="813"/>
    <tableColumn id="2" name="Month" dataDxfId="812"/>
    <tableColumn id="3" name="Revenue" dataDxfId="811"/>
    <tableColumn id="4" name="Operating Expense" dataDxfId="810"/>
    <tableColumn id="5" name="Production Volume" dataDxfId="809"/>
    <tableColumn id="6" name="Defective Units" dataDxfId="808"/>
    <tableColumn id="7" name="Downtime (hrs)" dataDxfId="807"/>
    <tableColumn id="8" name="Available Prod Hours" dataDxfId="806"/>
    <tableColumn id="9" name="Return Units" dataDxfId="805"/>
    <tableColumn id="10" name="Gross Profit" dataDxfId="804">
      <calculatedColumnFormula>CompanyData[[#This Row],[Revenue]] - CompanyData[[#This Row],[Operating Expense]]</calculatedColumnFormula>
    </tableColumn>
    <tableColumn id="11" name="Profit Margin (%)" dataDxfId="803" dataCellStyle="Percent">
      <calculatedColumnFormula>(CompanyData[[#This Row],[Gross Profit]] / CompanyData[[#This Row],[Revenue]] )</calculatedColumnFormula>
    </tableColumn>
    <tableColumn id="12" name="Defect Rate (%)" dataDxfId="802" dataCellStyle="Percent">
      <calculatedColumnFormula>(CompanyData[[#This Row],[Defective Units]]/CompanyData[[#This Row],[Production Volume]])</calculatedColumnFormula>
    </tableColumn>
    <tableColumn id="13" name="Return Rate (%)" dataDxfId="801" dataCellStyle="Percent">
      <calculatedColumnFormula>(CompanyData[[#This Row],[Return Units]]/CompanyData[[#This Row],[Production Volume]])</calculatedColumnFormula>
    </tableColumn>
    <tableColumn id="14" name="Downtime (%)" dataDxfId="800" dataCellStyle="Percent">
      <calculatedColumnFormula>(CompanyData[[#This Row],[Downtime (hrs)]]/CompanyData[[#This Row],[Available Prod Hours]])</calculatedColumnFormula>
    </tableColumn>
    <tableColumn id="15" name="On-Time Delivery (%)" dataDxfId="799" dataCellStyle="Percent"/>
    <tableColumn id="16" name="Complaints" dataDxfId="798" dataCellStyle="Percent"/>
    <tableColumn id="17" name="Avg Delivery Lead Time (Days)" dataDxfId="797" dataCellStyle="Percent"/>
    <tableColumn id="18" name="Product Quality (%)" dataDxfId="796" dataCellStyle="Percent"/>
    <tableColumn id="19" name="Service Responsiveness (%)" dataDxfId="795" dataCellStyle="Percent"/>
    <tableColumn id="20" name="Customer Feedback Score (%)" dataDxfId="794" dataCellStyle="Percent"/>
  </tableColumns>
  <tableStyleInfo name="TableStyleLight2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3.xml"/><Relationship Id="rId5" Type="http://schemas.openxmlformats.org/officeDocument/2006/relationships/pivotTable" Target="../pivotTables/pivotTable5.xml"/><Relationship Id="rId10" Type="http://schemas.openxmlformats.org/officeDocument/2006/relationships/printerSettings" Target="../printerSettings/printerSettings2.bin"/><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17.xml"/><Relationship Id="rId3" Type="http://schemas.openxmlformats.org/officeDocument/2006/relationships/pivotTable" Target="../pivotTables/pivotTable12.xml"/><Relationship Id="rId7" Type="http://schemas.openxmlformats.org/officeDocument/2006/relationships/pivotTable" Target="../pivotTables/pivotTable16.xml"/><Relationship Id="rId2" Type="http://schemas.openxmlformats.org/officeDocument/2006/relationships/pivotTable" Target="../pivotTables/pivotTable11.xml"/><Relationship Id="rId1" Type="http://schemas.openxmlformats.org/officeDocument/2006/relationships/pivotTable" Target="../pivotTables/pivotTable10.xml"/><Relationship Id="rId6" Type="http://schemas.openxmlformats.org/officeDocument/2006/relationships/pivotTable" Target="../pivotTables/pivotTable15.xml"/><Relationship Id="rId5" Type="http://schemas.openxmlformats.org/officeDocument/2006/relationships/pivotTable" Target="../pivotTables/pivotTable14.xml"/><Relationship Id="rId4" Type="http://schemas.openxmlformats.org/officeDocument/2006/relationships/pivotTable" Target="../pivotTables/pivotTable13.xml"/><Relationship Id="rId9"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
  <sheetViews>
    <sheetView tabSelected="1" zoomScale="85" zoomScaleNormal="85" workbookViewId="0">
      <pane xSplit="3" ySplit="11" topLeftCell="D12" activePane="bottomRight" state="frozen"/>
      <selection pane="topRight" activeCell="D1" sqref="D1"/>
      <selection pane="bottomLeft" activeCell="A12" sqref="A12"/>
      <selection pane="bottomRight" activeCell="D12" sqref="D12"/>
    </sheetView>
  </sheetViews>
  <sheetFormatPr defaultRowHeight="15" x14ac:dyDescent="0.25"/>
  <cols>
    <col min="1" max="2" width="9.140625" style="11"/>
    <col min="3" max="3" width="4" style="11" customWidth="1"/>
    <col min="4" max="4" width="13.42578125" style="2" bestFit="1" customWidth="1"/>
    <col min="5" max="5" width="8.42578125" style="2" bestFit="1" customWidth="1"/>
    <col min="6" max="16384" width="9.140625" style="2"/>
  </cols>
  <sheetData>
    <row r="1" spans="1:8" s="11" customFormat="1" ht="21" x14ac:dyDescent="0.35">
      <c r="A1" s="24"/>
      <c r="B1" s="24"/>
      <c r="C1" s="24"/>
      <c r="D1" s="24"/>
      <c r="E1" s="24"/>
      <c r="F1" s="24"/>
      <c r="G1" s="24"/>
      <c r="H1" s="24"/>
    </row>
    <row r="2" spans="1:8" s="11" customFormat="1" x14ac:dyDescent="0.25"/>
    <row r="3" spans="1:8" s="11" customFormat="1" x14ac:dyDescent="0.25"/>
    <row r="4" spans="1:8" s="11" customFormat="1" x14ac:dyDescent="0.25"/>
    <row r="5" spans="1:8" s="11" customFormat="1" x14ac:dyDescent="0.25"/>
  </sheetData>
  <pageMargins left="0.7" right="0.7" top="0.75" bottom="0.75" header="0.3" footer="0.3"/>
  <pageSetup orientation="portrait" horizontalDpi="0" verticalDpi="0"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64"/>
  <sheetViews>
    <sheetView showGridLines="0" zoomScale="90" zoomScaleNormal="90" workbookViewId="0">
      <selection activeCell="E8" sqref="E8"/>
    </sheetView>
  </sheetViews>
  <sheetFormatPr defaultRowHeight="15" x14ac:dyDescent="0.25"/>
  <cols>
    <col min="1" max="1" width="5.5703125" style="2" bestFit="1" customWidth="1"/>
    <col min="2" max="2" width="7" style="2" bestFit="1" customWidth="1"/>
    <col min="3" max="3" width="13.42578125" style="2" bestFit="1" customWidth="1"/>
    <col min="4" max="4" width="18" style="2" bestFit="1" customWidth="1"/>
    <col min="5" max="5" width="18.42578125" style="2" bestFit="1" customWidth="1"/>
    <col min="6" max="6" width="14.85546875" style="2" bestFit="1" customWidth="1"/>
    <col min="7" max="7" width="15" style="2" bestFit="1" customWidth="1"/>
    <col min="8" max="8" width="19.7109375" style="2" bestFit="1" customWidth="1"/>
    <col min="9" max="9" width="12.140625" style="2" bestFit="1" customWidth="1"/>
    <col min="10" max="10" width="13.42578125" style="2" bestFit="1" customWidth="1"/>
    <col min="11" max="11" width="16.28515625" style="2" bestFit="1" customWidth="1"/>
    <col min="12" max="12" width="14.85546875" style="2" bestFit="1" customWidth="1"/>
    <col min="13" max="13" width="15" style="2" bestFit="1" customWidth="1"/>
    <col min="14" max="14" width="13.85546875" style="2" bestFit="1" customWidth="1"/>
    <col min="15" max="15" width="20.28515625" style="2" bestFit="1" customWidth="1"/>
    <col min="16" max="16" width="11" style="2" bestFit="1" customWidth="1"/>
    <col min="17" max="17" width="28.140625" style="2" customWidth="1"/>
    <col min="18" max="18" width="18.42578125" style="2" bestFit="1" customWidth="1"/>
    <col min="19" max="19" width="26" style="2" bestFit="1" customWidth="1"/>
    <col min="20" max="20" width="27.7109375" style="2" bestFit="1" customWidth="1"/>
    <col min="21" max="16384" width="9.140625" style="2"/>
  </cols>
  <sheetData>
    <row r="1" spans="1:24" s="1" customFormat="1" ht="21" x14ac:dyDescent="0.35">
      <c r="A1" s="19"/>
      <c r="B1" s="19"/>
      <c r="C1" s="19"/>
      <c r="D1" s="19"/>
      <c r="E1" s="19"/>
    </row>
    <row r="2" spans="1:24" s="1" customFormat="1" x14ac:dyDescent="0.25"/>
    <row r="3" spans="1:24" s="1" customFormat="1" x14ac:dyDescent="0.25"/>
    <row r="4" spans="1:24" ht="27" customHeight="1" x14ac:dyDescent="0.25">
      <c r="A4" s="3" t="s">
        <v>0</v>
      </c>
      <c r="B4" s="3" t="s">
        <v>1</v>
      </c>
      <c r="C4" s="3" t="s">
        <v>2</v>
      </c>
      <c r="D4" s="3" t="s">
        <v>3</v>
      </c>
      <c r="E4" s="3" t="s">
        <v>4</v>
      </c>
      <c r="F4" s="3" t="s">
        <v>5</v>
      </c>
      <c r="G4" s="3" t="s">
        <v>6</v>
      </c>
      <c r="H4" s="3" t="s">
        <v>7</v>
      </c>
      <c r="I4" s="3" t="s">
        <v>8</v>
      </c>
      <c r="J4" s="3" t="s">
        <v>21</v>
      </c>
      <c r="K4" s="3" t="s">
        <v>22</v>
      </c>
      <c r="L4" s="3" t="s">
        <v>23</v>
      </c>
      <c r="M4" s="3" t="s">
        <v>24</v>
      </c>
      <c r="N4" s="3" t="s">
        <v>25</v>
      </c>
      <c r="O4" s="9" t="s">
        <v>34</v>
      </c>
      <c r="P4" s="9" t="s">
        <v>38</v>
      </c>
      <c r="Q4" s="9" t="s">
        <v>39</v>
      </c>
      <c r="R4" s="9" t="s">
        <v>40</v>
      </c>
      <c r="S4" s="9" t="s">
        <v>41</v>
      </c>
      <c r="T4" s="9" t="s">
        <v>42</v>
      </c>
      <c r="U4"/>
      <c r="V4"/>
      <c r="W4"/>
      <c r="X4"/>
    </row>
    <row r="5" spans="1:24" x14ac:dyDescent="0.25">
      <c r="A5" s="4">
        <v>2020</v>
      </c>
      <c r="B5" s="4" t="s">
        <v>9</v>
      </c>
      <c r="C5" s="5">
        <v>3980000</v>
      </c>
      <c r="D5" s="5">
        <v>2680000</v>
      </c>
      <c r="E5" s="4">
        <v>8500</v>
      </c>
      <c r="F5" s="4">
        <v>270</v>
      </c>
      <c r="G5" s="4">
        <v>14</v>
      </c>
      <c r="H5" s="4">
        <v>744</v>
      </c>
      <c r="I5" s="4">
        <v>150</v>
      </c>
      <c r="J5" s="6">
        <f>CompanyData[[#This Row],[Revenue]] - CompanyData[[#This Row],[Operating Expense]]</f>
        <v>1300000</v>
      </c>
      <c r="K5" s="7">
        <f>(CompanyData[[#This Row],[Gross Profit]] / CompanyData[[#This Row],[Revenue]] )</f>
        <v>0.32663316582914576</v>
      </c>
      <c r="L5" s="7">
        <f>(CompanyData[[#This Row],[Defective Units]]/CompanyData[[#This Row],[Production Volume]])</f>
        <v>3.1764705882352938E-2</v>
      </c>
      <c r="M5" s="7">
        <f>(CompanyData[[#This Row],[Return Units]]/CompanyData[[#This Row],[Production Volume]])</f>
        <v>1.7647058823529412E-2</v>
      </c>
      <c r="N5" s="7">
        <f>(CompanyData[[#This Row],[Downtime (hrs)]]/CompanyData[[#This Row],[Available Prod Hours]])</f>
        <v>1.8817204301075269E-2</v>
      </c>
      <c r="O5" s="8">
        <v>0.93400000000000005</v>
      </c>
      <c r="P5" s="8">
        <v>18</v>
      </c>
      <c r="Q5" s="8">
        <v>4.2</v>
      </c>
      <c r="R5" s="10">
        <v>0.875</v>
      </c>
      <c r="S5" s="10">
        <v>0.81200000000000006</v>
      </c>
      <c r="T5" s="10">
        <v>0.84</v>
      </c>
      <c r="U5"/>
      <c r="V5"/>
      <c r="W5"/>
      <c r="X5"/>
    </row>
    <row r="6" spans="1:24" x14ac:dyDescent="0.25">
      <c r="A6" s="4">
        <v>2020</v>
      </c>
      <c r="B6" s="4" t="s">
        <v>10</v>
      </c>
      <c r="C6" s="5">
        <v>4010000</v>
      </c>
      <c r="D6" s="5">
        <v>2690000</v>
      </c>
      <c r="E6" s="4">
        <v>8650</v>
      </c>
      <c r="F6" s="4">
        <v>268</v>
      </c>
      <c r="G6" s="4">
        <v>13</v>
      </c>
      <c r="H6" s="4">
        <v>672</v>
      </c>
      <c r="I6" s="4">
        <v>148</v>
      </c>
      <c r="J6" s="6">
        <f>CompanyData[[#This Row],[Revenue]] - CompanyData[[#This Row],[Operating Expense]]</f>
        <v>1320000</v>
      </c>
      <c r="K6" s="7">
        <f>(CompanyData[[#This Row],[Gross Profit]] / CompanyData[[#This Row],[Revenue]] )</f>
        <v>0.32917705735660846</v>
      </c>
      <c r="L6" s="7">
        <f>(CompanyData[[#This Row],[Defective Units]]/CompanyData[[#This Row],[Production Volume]])</f>
        <v>3.0982658959537571E-2</v>
      </c>
      <c r="M6" s="7">
        <f>(CompanyData[[#This Row],[Return Units]]/CompanyData[[#This Row],[Production Volume]])</f>
        <v>1.7109826589595374E-2</v>
      </c>
      <c r="N6" s="7">
        <f>(CompanyData[[#This Row],[Downtime (hrs)]]/CompanyData[[#This Row],[Available Prod Hours]])</f>
        <v>1.9345238095238096E-2</v>
      </c>
      <c r="O6" s="8">
        <v>0.94</v>
      </c>
      <c r="P6" s="8">
        <v>17</v>
      </c>
      <c r="Q6" s="8">
        <v>4.0999999999999996</v>
      </c>
      <c r="R6" s="10">
        <v>0.88099999999999989</v>
      </c>
      <c r="S6" s="10">
        <v>0.82</v>
      </c>
      <c r="T6" s="10">
        <v>0.84499999999999997</v>
      </c>
      <c r="U6"/>
      <c r="V6"/>
      <c r="W6"/>
      <c r="X6"/>
    </row>
    <row r="7" spans="1:24" x14ac:dyDescent="0.25">
      <c r="A7" s="4">
        <v>2020</v>
      </c>
      <c r="B7" s="4" t="s">
        <v>11</v>
      </c>
      <c r="C7" s="5">
        <v>4070000</v>
      </c>
      <c r="D7" s="5">
        <v>2730000</v>
      </c>
      <c r="E7" s="4">
        <v>8820</v>
      </c>
      <c r="F7" s="4">
        <v>265</v>
      </c>
      <c r="G7" s="4">
        <v>12</v>
      </c>
      <c r="H7" s="4">
        <v>744</v>
      </c>
      <c r="I7" s="4">
        <v>140</v>
      </c>
      <c r="J7" s="6">
        <f>CompanyData[[#This Row],[Revenue]] - CompanyData[[#This Row],[Operating Expense]]</f>
        <v>1340000</v>
      </c>
      <c r="K7" s="7">
        <f>(CompanyData[[#This Row],[Gross Profit]] / CompanyData[[#This Row],[Revenue]] )</f>
        <v>0.32923832923832924</v>
      </c>
      <c r="L7" s="7">
        <f>(CompanyData[[#This Row],[Defective Units]]/CompanyData[[#This Row],[Production Volume]])</f>
        <v>3.0045351473922902E-2</v>
      </c>
      <c r="M7" s="7">
        <f>(CompanyData[[#This Row],[Return Units]]/CompanyData[[#This Row],[Production Volume]])</f>
        <v>1.5873015873015872E-2</v>
      </c>
      <c r="N7" s="7">
        <f>(CompanyData[[#This Row],[Downtime (hrs)]]/CompanyData[[#This Row],[Available Prod Hours]])</f>
        <v>1.6129032258064516E-2</v>
      </c>
      <c r="O7" s="8">
        <v>0.93799999999999994</v>
      </c>
      <c r="P7" s="8">
        <v>20</v>
      </c>
      <c r="Q7" s="8">
        <v>4</v>
      </c>
      <c r="R7" s="10">
        <v>0.878</v>
      </c>
      <c r="S7" s="10">
        <v>0.81499999999999995</v>
      </c>
      <c r="T7" s="10">
        <v>0.84200000000000008</v>
      </c>
      <c r="U7"/>
      <c r="V7"/>
      <c r="W7"/>
      <c r="X7"/>
    </row>
    <row r="8" spans="1:24" x14ac:dyDescent="0.25">
      <c r="A8" s="4">
        <v>2020</v>
      </c>
      <c r="B8" s="4" t="s">
        <v>12</v>
      </c>
      <c r="C8" s="5">
        <v>3950000</v>
      </c>
      <c r="D8" s="5">
        <v>2660000</v>
      </c>
      <c r="E8" s="4">
        <v>8410</v>
      </c>
      <c r="F8" s="4">
        <v>261</v>
      </c>
      <c r="G8" s="4">
        <v>14</v>
      </c>
      <c r="H8" s="4">
        <v>720</v>
      </c>
      <c r="I8" s="4">
        <v>155</v>
      </c>
      <c r="J8" s="6">
        <f>CompanyData[[#This Row],[Revenue]] - CompanyData[[#This Row],[Operating Expense]]</f>
        <v>1290000</v>
      </c>
      <c r="K8" s="7">
        <f>(CompanyData[[#This Row],[Gross Profit]] / CompanyData[[#This Row],[Revenue]] )</f>
        <v>0.32658227848101268</v>
      </c>
      <c r="L8" s="7">
        <f>(CompanyData[[#This Row],[Defective Units]]/CompanyData[[#This Row],[Production Volume]])</f>
        <v>3.1034482758620689E-2</v>
      </c>
      <c r="M8" s="7">
        <f>(CompanyData[[#This Row],[Return Units]]/CompanyData[[#This Row],[Production Volume]])</f>
        <v>1.8430439952437573E-2</v>
      </c>
      <c r="N8" s="7">
        <f>(CompanyData[[#This Row],[Downtime (hrs)]]/CompanyData[[#This Row],[Available Prod Hours]])</f>
        <v>1.9444444444444445E-2</v>
      </c>
      <c r="O8" s="8">
        <v>0.92500000000000004</v>
      </c>
      <c r="P8" s="8">
        <v>19</v>
      </c>
      <c r="Q8" s="8">
        <v>4.3</v>
      </c>
      <c r="R8" s="10">
        <v>0.88300000000000001</v>
      </c>
      <c r="S8" s="10">
        <v>0.82200000000000006</v>
      </c>
      <c r="T8" s="10">
        <v>0.85</v>
      </c>
      <c r="U8"/>
      <c r="V8"/>
      <c r="W8"/>
      <c r="X8"/>
    </row>
    <row r="9" spans="1:24" x14ac:dyDescent="0.25">
      <c r="A9" s="4">
        <v>2020</v>
      </c>
      <c r="B9" s="4" t="s">
        <v>13</v>
      </c>
      <c r="C9" s="5">
        <v>4000000</v>
      </c>
      <c r="D9" s="5">
        <v>2700000</v>
      </c>
      <c r="E9" s="4">
        <v>8790</v>
      </c>
      <c r="F9" s="4">
        <v>268</v>
      </c>
      <c r="G9" s="4">
        <v>13</v>
      </c>
      <c r="H9" s="4">
        <v>744</v>
      </c>
      <c r="I9" s="4">
        <v>148</v>
      </c>
      <c r="J9" s="6">
        <f>CompanyData[[#This Row],[Revenue]] - CompanyData[[#This Row],[Operating Expense]]</f>
        <v>1300000</v>
      </c>
      <c r="K9" s="7">
        <f>(CompanyData[[#This Row],[Gross Profit]] / CompanyData[[#This Row],[Revenue]] )</f>
        <v>0.32500000000000001</v>
      </c>
      <c r="L9" s="7">
        <f>(CompanyData[[#This Row],[Defective Units]]/CompanyData[[#This Row],[Production Volume]])</f>
        <v>3.0489192263936291E-2</v>
      </c>
      <c r="M9" s="7">
        <f>(CompanyData[[#This Row],[Return Units]]/CompanyData[[#This Row],[Production Volume]])</f>
        <v>1.6837315130830491E-2</v>
      </c>
      <c r="N9" s="7">
        <f>(CompanyData[[#This Row],[Downtime (hrs)]]/CompanyData[[#This Row],[Available Prod Hours]])</f>
        <v>1.7473118279569891E-2</v>
      </c>
      <c r="O9" s="8">
        <v>0.93200000000000005</v>
      </c>
      <c r="P9" s="8">
        <v>18</v>
      </c>
      <c r="Q9" s="8">
        <v>4.2</v>
      </c>
      <c r="R9" s="10">
        <v>0.879</v>
      </c>
      <c r="S9" s="10">
        <v>0.81799999999999995</v>
      </c>
      <c r="T9" s="10">
        <v>0.84299999999999997</v>
      </c>
      <c r="U9"/>
      <c r="V9"/>
      <c r="W9"/>
      <c r="X9"/>
    </row>
    <row r="10" spans="1:24" x14ac:dyDescent="0.25">
      <c r="A10" s="4">
        <v>2020</v>
      </c>
      <c r="B10" s="4" t="s">
        <v>14</v>
      </c>
      <c r="C10" s="5">
        <v>4160000</v>
      </c>
      <c r="D10" s="5">
        <v>2760000</v>
      </c>
      <c r="E10" s="4">
        <v>8990</v>
      </c>
      <c r="F10" s="4">
        <v>265</v>
      </c>
      <c r="G10" s="4">
        <v>12</v>
      </c>
      <c r="H10" s="4">
        <v>720</v>
      </c>
      <c r="I10" s="4">
        <v>143</v>
      </c>
      <c r="J10" s="6">
        <f>CompanyData[[#This Row],[Revenue]] - CompanyData[[#This Row],[Operating Expense]]</f>
        <v>1400000</v>
      </c>
      <c r="K10" s="7">
        <f>(CompanyData[[#This Row],[Gross Profit]] / CompanyData[[#This Row],[Revenue]] )</f>
        <v>0.33653846153846156</v>
      </c>
      <c r="L10" s="7">
        <f>(CompanyData[[#This Row],[Defective Units]]/CompanyData[[#This Row],[Production Volume]])</f>
        <v>2.9477196885428252E-2</v>
      </c>
      <c r="M10" s="7">
        <f>(CompanyData[[#This Row],[Return Units]]/CompanyData[[#This Row],[Production Volume]])</f>
        <v>1.5906562847608455E-2</v>
      </c>
      <c r="N10" s="7">
        <f>(CompanyData[[#This Row],[Downtime (hrs)]]/CompanyData[[#This Row],[Available Prod Hours]])</f>
        <v>1.6666666666666666E-2</v>
      </c>
      <c r="O10" s="8">
        <v>0.93799999999999994</v>
      </c>
      <c r="P10" s="8">
        <v>17</v>
      </c>
      <c r="Q10" s="8">
        <v>4.0999999999999996</v>
      </c>
      <c r="R10" s="10">
        <v>0.88500000000000001</v>
      </c>
      <c r="S10" s="10">
        <v>0.82499999999999996</v>
      </c>
      <c r="T10" s="10">
        <v>0.85099999999999998</v>
      </c>
      <c r="U10"/>
      <c r="V10"/>
      <c r="W10"/>
      <c r="X10"/>
    </row>
    <row r="11" spans="1:24" x14ac:dyDescent="0.25">
      <c r="A11" s="4">
        <v>2020</v>
      </c>
      <c r="B11" s="4" t="s">
        <v>15</v>
      </c>
      <c r="C11" s="5">
        <v>4090000</v>
      </c>
      <c r="D11" s="5">
        <v>2740000</v>
      </c>
      <c r="E11" s="4">
        <v>8880</v>
      </c>
      <c r="F11" s="4">
        <v>258</v>
      </c>
      <c r="G11" s="4">
        <v>11</v>
      </c>
      <c r="H11" s="4">
        <v>744</v>
      </c>
      <c r="I11" s="4">
        <v>145</v>
      </c>
      <c r="J11" s="6">
        <f>CompanyData[[#This Row],[Revenue]] - CompanyData[[#This Row],[Operating Expense]]</f>
        <v>1350000</v>
      </c>
      <c r="K11" s="7">
        <f>(CompanyData[[#This Row],[Gross Profit]] / CompanyData[[#This Row],[Revenue]] )</f>
        <v>0.33007334963325186</v>
      </c>
      <c r="L11" s="7">
        <f>(CompanyData[[#This Row],[Defective Units]]/CompanyData[[#This Row],[Production Volume]])</f>
        <v>2.9054054054054056E-2</v>
      </c>
      <c r="M11" s="7">
        <f>(CompanyData[[#This Row],[Return Units]]/CompanyData[[#This Row],[Production Volume]])</f>
        <v>1.6328828828828829E-2</v>
      </c>
      <c r="N11" s="7">
        <f>(CompanyData[[#This Row],[Downtime (hrs)]]/CompanyData[[#This Row],[Available Prod Hours]])</f>
        <v>1.4784946236559141E-2</v>
      </c>
      <c r="O11" s="8">
        <v>0.94099999999999995</v>
      </c>
      <c r="P11" s="8">
        <v>16</v>
      </c>
      <c r="Q11" s="8">
        <v>4</v>
      </c>
      <c r="R11" s="10">
        <v>0.87599999999999989</v>
      </c>
      <c r="S11" s="10">
        <v>0.81700000000000006</v>
      </c>
      <c r="T11" s="10">
        <v>0.84</v>
      </c>
      <c r="U11"/>
      <c r="V11"/>
      <c r="W11"/>
      <c r="X11"/>
    </row>
    <row r="12" spans="1:24" x14ac:dyDescent="0.25">
      <c r="A12" s="4">
        <v>2020</v>
      </c>
      <c r="B12" s="4" t="s">
        <v>16</v>
      </c>
      <c r="C12" s="5">
        <v>4210000</v>
      </c>
      <c r="D12" s="5">
        <v>2800000</v>
      </c>
      <c r="E12" s="4">
        <v>9100</v>
      </c>
      <c r="F12" s="4">
        <v>259</v>
      </c>
      <c r="G12" s="4">
        <v>11</v>
      </c>
      <c r="H12" s="4">
        <v>744</v>
      </c>
      <c r="I12" s="4">
        <v>140</v>
      </c>
      <c r="J12" s="6">
        <f>CompanyData[[#This Row],[Revenue]] - CompanyData[[#This Row],[Operating Expense]]</f>
        <v>1410000</v>
      </c>
      <c r="K12" s="7">
        <f>(CompanyData[[#This Row],[Gross Profit]] / CompanyData[[#This Row],[Revenue]] )</f>
        <v>0.33491686460807601</v>
      </c>
      <c r="L12" s="7">
        <f>(CompanyData[[#This Row],[Defective Units]]/CompanyData[[#This Row],[Production Volume]])</f>
        <v>2.8461538461538462E-2</v>
      </c>
      <c r="M12" s="7">
        <f>(CompanyData[[#This Row],[Return Units]]/CompanyData[[#This Row],[Production Volume]])</f>
        <v>1.5384615384615385E-2</v>
      </c>
      <c r="N12" s="7">
        <f>(CompanyData[[#This Row],[Downtime (hrs)]]/CompanyData[[#This Row],[Available Prod Hours]])</f>
        <v>1.4784946236559141E-2</v>
      </c>
      <c r="O12" s="8">
        <v>0.94499999999999995</v>
      </c>
      <c r="P12" s="8">
        <v>18</v>
      </c>
      <c r="Q12" s="8">
        <v>4.0999999999999996</v>
      </c>
      <c r="R12" s="10">
        <v>0.88</v>
      </c>
      <c r="S12" s="10">
        <v>0.82</v>
      </c>
      <c r="T12" s="10">
        <v>0.84499999999999997</v>
      </c>
      <c r="U12"/>
      <c r="V12"/>
      <c r="W12"/>
      <c r="X12"/>
    </row>
    <row r="13" spans="1:24" x14ac:dyDescent="0.25">
      <c r="A13" s="4">
        <v>2020</v>
      </c>
      <c r="B13" s="4" t="s">
        <v>17</v>
      </c>
      <c r="C13" s="5">
        <v>4230000</v>
      </c>
      <c r="D13" s="5">
        <v>2810000</v>
      </c>
      <c r="E13" s="4">
        <v>9020</v>
      </c>
      <c r="F13" s="4">
        <v>253</v>
      </c>
      <c r="G13" s="4">
        <v>10</v>
      </c>
      <c r="H13" s="4">
        <v>720</v>
      </c>
      <c r="I13" s="4">
        <v>138</v>
      </c>
      <c r="J13" s="6">
        <f>CompanyData[[#This Row],[Revenue]] - CompanyData[[#This Row],[Operating Expense]]</f>
        <v>1420000</v>
      </c>
      <c r="K13" s="7">
        <f>(CompanyData[[#This Row],[Gross Profit]] / CompanyData[[#This Row],[Revenue]] )</f>
        <v>0.33569739952718675</v>
      </c>
      <c r="L13" s="7">
        <f>(CompanyData[[#This Row],[Defective Units]]/CompanyData[[#This Row],[Production Volume]])</f>
        <v>2.8048780487804879E-2</v>
      </c>
      <c r="M13" s="7">
        <f>(CompanyData[[#This Row],[Return Units]]/CompanyData[[#This Row],[Production Volume]])</f>
        <v>1.5299334811529933E-2</v>
      </c>
      <c r="N13" s="7">
        <f>(CompanyData[[#This Row],[Downtime (hrs)]]/CompanyData[[#This Row],[Available Prod Hours]])</f>
        <v>1.3888888888888888E-2</v>
      </c>
      <c r="O13" s="8">
        <v>0.94799999999999995</v>
      </c>
      <c r="P13" s="8">
        <v>17</v>
      </c>
      <c r="Q13" s="8">
        <v>4</v>
      </c>
      <c r="R13" s="10">
        <v>0.88200000000000001</v>
      </c>
      <c r="S13" s="10">
        <v>0.82299999999999995</v>
      </c>
      <c r="T13" s="10">
        <v>0.84799999999999998</v>
      </c>
      <c r="U13"/>
      <c r="V13"/>
      <c r="W13"/>
      <c r="X13"/>
    </row>
    <row r="14" spans="1:24" x14ac:dyDescent="0.25">
      <c r="A14" s="4">
        <v>2020</v>
      </c>
      <c r="B14" s="4" t="s">
        <v>18</v>
      </c>
      <c r="C14" s="5">
        <v>4050000</v>
      </c>
      <c r="D14" s="5">
        <v>2720000</v>
      </c>
      <c r="E14" s="4">
        <v>8720</v>
      </c>
      <c r="F14" s="4">
        <v>249</v>
      </c>
      <c r="G14" s="4">
        <v>11</v>
      </c>
      <c r="H14" s="4">
        <v>744</v>
      </c>
      <c r="I14" s="4">
        <v>144</v>
      </c>
      <c r="J14" s="6">
        <f>CompanyData[[#This Row],[Revenue]] - CompanyData[[#This Row],[Operating Expense]]</f>
        <v>1330000</v>
      </c>
      <c r="K14" s="7">
        <f>(CompanyData[[#This Row],[Gross Profit]] / CompanyData[[#This Row],[Revenue]] )</f>
        <v>0.32839506172839505</v>
      </c>
      <c r="L14" s="7">
        <f>(CompanyData[[#This Row],[Defective Units]]/CompanyData[[#This Row],[Production Volume]])</f>
        <v>2.8555045871559635E-2</v>
      </c>
      <c r="M14" s="7">
        <f>(CompanyData[[#This Row],[Return Units]]/CompanyData[[#This Row],[Production Volume]])</f>
        <v>1.6513761467889909E-2</v>
      </c>
      <c r="N14" s="7">
        <f>(CompanyData[[#This Row],[Downtime (hrs)]]/CompanyData[[#This Row],[Available Prod Hours]])</f>
        <v>1.4784946236559141E-2</v>
      </c>
      <c r="O14" s="8">
        <v>0.94</v>
      </c>
      <c r="P14" s="8">
        <v>16</v>
      </c>
      <c r="Q14" s="8">
        <v>4.0999999999999996</v>
      </c>
      <c r="R14" s="10">
        <v>0.877</v>
      </c>
      <c r="S14" s="10">
        <v>0.81599999999999995</v>
      </c>
      <c r="T14" s="10">
        <v>0.84099999999999997</v>
      </c>
      <c r="U14"/>
      <c r="V14"/>
      <c r="W14"/>
      <c r="X14"/>
    </row>
    <row r="15" spans="1:24" x14ac:dyDescent="0.25">
      <c r="A15" s="4">
        <v>2020</v>
      </c>
      <c r="B15" s="4" t="s">
        <v>19</v>
      </c>
      <c r="C15" s="5">
        <v>4190000</v>
      </c>
      <c r="D15" s="5">
        <v>2790000</v>
      </c>
      <c r="E15" s="4">
        <v>8950</v>
      </c>
      <c r="F15" s="4">
        <v>246</v>
      </c>
      <c r="G15" s="4">
        <v>12</v>
      </c>
      <c r="H15" s="4">
        <v>720</v>
      </c>
      <c r="I15" s="4">
        <v>140</v>
      </c>
      <c r="J15" s="6">
        <f>CompanyData[[#This Row],[Revenue]] - CompanyData[[#This Row],[Operating Expense]]</f>
        <v>1400000</v>
      </c>
      <c r="K15" s="7">
        <f>(CompanyData[[#This Row],[Gross Profit]] / CompanyData[[#This Row],[Revenue]] )</f>
        <v>0.33412887828162291</v>
      </c>
      <c r="L15" s="7">
        <f>(CompanyData[[#This Row],[Defective Units]]/CompanyData[[#This Row],[Production Volume]])</f>
        <v>2.7486033519553074E-2</v>
      </c>
      <c r="M15" s="7">
        <f>(CompanyData[[#This Row],[Return Units]]/CompanyData[[#This Row],[Production Volume]])</f>
        <v>1.564245810055866E-2</v>
      </c>
      <c r="N15" s="7">
        <f>(CompanyData[[#This Row],[Downtime (hrs)]]/CompanyData[[#This Row],[Available Prod Hours]])</f>
        <v>1.6666666666666666E-2</v>
      </c>
      <c r="O15" s="8">
        <v>0.94299999999999995</v>
      </c>
      <c r="P15" s="8">
        <v>19</v>
      </c>
      <c r="Q15" s="8">
        <v>4.2</v>
      </c>
      <c r="R15" s="10">
        <v>0.88400000000000001</v>
      </c>
      <c r="S15" s="10">
        <v>0.82400000000000007</v>
      </c>
      <c r="T15" s="10">
        <v>0.85</v>
      </c>
      <c r="U15"/>
      <c r="V15"/>
      <c r="W15"/>
      <c r="X15"/>
    </row>
    <row r="16" spans="1:24" x14ac:dyDescent="0.25">
      <c r="A16" s="4">
        <v>2020</v>
      </c>
      <c r="B16" s="4" t="s">
        <v>20</v>
      </c>
      <c r="C16" s="5">
        <v>4130000</v>
      </c>
      <c r="D16" s="5">
        <v>2760000</v>
      </c>
      <c r="E16" s="4">
        <v>9100</v>
      </c>
      <c r="F16" s="4">
        <v>253</v>
      </c>
      <c r="G16" s="4">
        <v>11</v>
      </c>
      <c r="H16" s="4">
        <v>744</v>
      </c>
      <c r="I16" s="4">
        <v>139</v>
      </c>
      <c r="J16" s="6">
        <f>CompanyData[[#This Row],[Revenue]] - CompanyData[[#This Row],[Operating Expense]]</f>
        <v>1370000</v>
      </c>
      <c r="K16" s="7">
        <f>(CompanyData[[#This Row],[Gross Profit]] / CompanyData[[#This Row],[Revenue]] )</f>
        <v>0.33171912832929784</v>
      </c>
      <c r="L16" s="7">
        <f>(CompanyData[[#This Row],[Defective Units]]/CompanyData[[#This Row],[Production Volume]])</f>
        <v>2.7802197802197802E-2</v>
      </c>
      <c r="M16" s="7">
        <f>(CompanyData[[#This Row],[Return Units]]/CompanyData[[#This Row],[Production Volume]])</f>
        <v>1.5274725274725275E-2</v>
      </c>
      <c r="N16" s="7">
        <f>(CompanyData[[#This Row],[Downtime (hrs)]]/CompanyData[[#This Row],[Available Prod Hours]])</f>
        <v>1.4784946236559141E-2</v>
      </c>
      <c r="O16" s="8">
        <v>0.94599999999999995</v>
      </c>
      <c r="P16" s="8">
        <v>18</v>
      </c>
      <c r="Q16" s="8">
        <v>4</v>
      </c>
      <c r="R16" s="10">
        <v>0.8859999999999999</v>
      </c>
      <c r="S16" s="10">
        <v>0.82700000000000007</v>
      </c>
      <c r="T16" s="10">
        <v>0.85299999999999998</v>
      </c>
      <c r="U16"/>
      <c r="V16"/>
      <c r="W16"/>
      <c r="X16"/>
    </row>
    <row r="17" spans="1:24" x14ac:dyDescent="0.25">
      <c r="A17" s="4">
        <v>2021</v>
      </c>
      <c r="B17" s="4" t="s">
        <v>9</v>
      </c>
      <c r="C17" s="5">
        <v>4320000</v>
      </c>
      <c r="D17" s="5">
        <v>2880000</v>
      </c>
      <c r="E17" s="4">
        <v>9250</v>
      </c>
      <c r="F17" s="4">
        <v>250</v>
      </c>
      <c r="G17" s="4">
        <v>12</v>
      </c>
      <c r="H17" s="4">
        <v>744</v>
      </c>
      <c r="I17" s="4">
        <v>138</v>
      </c>
      <c r="J17" s="6">
        <f>CompanyData[[#This Row],[Revenue]] - CompanyData[[#This Row],[Operating Expense]]</f>
        <v>1440000</v>
      </c>
      <c r="K17" s="7">
        <f>(CompanyData[[#This Row],[Gross Profit]] / CompanyData[[#This Row],[Revenue]] )</f>
        <v>0.33333333333333331</v>
      </c>
      <c r="L17" s="7">
        <f>(CompanyData[[#This Row],[Defective Units]]/CompanyData[[#This Row],[Production Volume]])</f>
        <v>2.7027027027027029E-2</v>
      </c>
      <c r="M17" s="7">
        <f>(CompanyData[[#This Row],[Return Units]]/CompanyData[[#This Row],[Production Volume]])</f>
        <v>1.4918918918918918E-2</v>
      </c>
      <c r="N17" s="7">
        <f>(CompanyData[[#This Row],[Downtime (hrs)]]/CompanyData[[#This Row],[Available Prod Hours]])</f>
        <v>1.6129032258064516E-2</v>
      </c>
      <c r="O17" s="8">
        <v>0.95</v>
      </c>
      <c r="P17" s="8">
        <v>16</v>
      </c>
      <c r="Q17" s="8">
        <v>4</v>
      </c>
      <c r="R17" s="10">
        <v>0.88345454545454605</v>
      </c>
      <c r="S17" s="10">
        <v>0.82471212121212101</v>
      </c>
      <c r="T17" s="10">
        <v>0.84943939393939405</v>
      </c>
      <c r="U17"/>
      <c r="V17"/>
      <c r="W17"/>
      <c r="X17"/>
    </row>
    <row r="18" spans="1:24" x14ac:dyDescent="0.25">
      <c r="A18" s="4">
        <v>2021</v>
      </c>
      <c r="B18" s="4" t="s">
        <v>10</v>
      </c>
      <c r="C18" s="5">
        <v>4400000</v>
      </c>
      <c r="D18" s="5">
        <v>2940000</v>
      </c>
      <c r="E18" s="4">
        <v>9420</v>
      </c>
      <c r="F18" s="4">
        <v>250</v>
      </c>
      <c r="G18" s="4">
        <v>11</v>
      </c>
      <c r="H18" s="4">
        <v>672</v>
      </c>
      <c r="I18" s="4">
        <v>136</v>
      </c>
      <c r="J18" s="6">
        <f>CompanyData[[#This Row],[Revenue]] - CompanyData[[#This Row],[Operating Expense]]</f>
        <v>1460000</v>
      </c>
      <c r="K18" s="7">
        <f>(CompanyData[[#This Row],[Gross Profit]] / CompanyData[[#This Row],[Revenue]] )</f>
        <v>0.33181818181818185</v>
      </c>
      <c r="L18" s="7">
        <f>(CompanyData[[#This Row],[Defective Units]]/CompanyData[[#This Row],[Production Volume]])</f>
        <v>2.6539278131634821E-2</v>
      </c>
      <c r="M18" s="7">
        <f>(CompanyData[[#This Row],[Return Units]]/CompanyData[[#This Row],[Production Volume]])</f>
        <v>1.4437367303609342E-2</v>
      </c>
      <c r="N18" s="7">
        <f>(CompanyData[[#This Row],[Downtime (hrs)]]/CompanyData[[#This Row],[Available Prod Hours]])</f>
        <v>1.636904761904762E-2</v>
      </c>
      <c r="O18" s="8">
        <v>0.95199999999999996</v>
      </c>
      <c r="P18" s="8">
        <v>15</v>
      </c>
      <c r="Q18" s="8">
        <v>3.9</v>
      </c>
      <c r="R18" s="10">
        <v>0.88390909090909109</v>
      </c>
      <c r="S18" s="10">
        <v>0.82544988344988302</v>
      </c>
      <c r="T18" s="10">
        <v>0.85001981351981304</v>
      </c>
      <c r="U18"/>
      <c r="V18"/>
      <c r="W18"/>
      <c r="X18"/>
    </row>
    <row r="19" spans="1:24" x14ac:dyDescent="0.25">
      <c r="A19" s="4">
        <v>2021</v>
      </c>
      <c r="B19" s="4" t="s">
        <v>11</v>
      </c>
      <c r="C19" s="5">
        <v>4530000</v>
      </c>
      <c r="D19" s="5">
        <v>2990000</v>
      </c>
      <c r="E19" s="4">
        <v>9580</v>
      </c>
      <c r="F19" s="4">
        <v>249</v>
      </c>
      <c r="G19" s="4">
        <v>11</v>
      </c>
      <c r="H19" s="4">
        <v>744</v>
      </c>
      <c r="I19" s="4">
        <v>130</v>
      </c>
      <c r="J19" s="6">
        <f>CompanyData[[#This Row],[Revenue]] - CompanyData[[#This Row],[Operating Expense]]</f>
        <v>1540000</v>
      </c>
      <c r="K19" s="7">
        <f>(CompanyData[[#This Row],[Gross Profit]] / CompanyData[[#This Row],[Revenue]] )</f>
        <v>0.33995584988962474</v>
      </c>
      <c r="L19" s="7">
        <f>(CompanyData[[#This Row],[Defective Units]]/CompanyData[[#This Row],[Production Volume]])</f>
        <v>2.5991649269311065E-2</v>
      </c>
      <c r="M19" s="7">
        <f>(CompanyData[[#This Row],[Return Units]]/CompanyData[[#This Row],[Production Volume]])</f>
        <v>1.3569937369519834E-2</v>
      </c>
      <c r="N19" s="7">
        <f>(CompanyData[[#This Row],[Downtime (hrs)]]/CompanyData[[#This Row],[Available Prod Hours]])</f>
        <v>1.4784946236559141E-2</v>
      </c>
      <c r="O19" s="8">
        <v>0.95499999999999996</v>
      </c>
      <c r="P19" s="8">
        <v>16</v>
      </c>
      <c r="Q19" s="8">
        <v>3.9</v>
      </c>
      <c r="R19" s="10">
        <v>0.88436363636363691</v>
      </c>
      <c r="S19" s="10">
        <v>0.82618764568764502</v>
      </c>
      <c r="T19" s="10">
        <v>0.85060023310023292</v>
      </c>
      <c r="U19"/>
      <c r="V19"/>
      <c r="W19"/>
      <c r="X19"/>
    </row>
    <row r="20" spans="1:24" x14ac:dyDescent="0.25">
      <c r="A20" s="4">
        <v>2021</v>
      </c>
      <c r="B20" s="4" t="s">
        <v>12</v>
      </c>
      <c r="C20" s="5">
        <v>4370000</v>
      </c>
      <c r="D20" s="5">
        <v>2910000</v>
      </c>
      <c r="E20" s="4">
        <v>9210</v>
      </c>
      <c r="F20" s="4">
        <v>244</v>
      </c>
      <c r="G20" s="4">
        <v>12</v>
      </c>
      <c r="H20" s="4">
        <v>720</v>
      </c>
      <c r="I20" s="4">
        <v>135</v>
      </c>
      <c r="J20" s="6">
        <f>CompanyData[[#This Row],[Revenue]] - CompanyData[[#This Row],[Operating Expense]]</f>
        <v>1460000</v>
      </c>
      <c r="K20" s="7">
        <f>(CompanyData[[#This Row],[Gross Profit]] / CompanyData[[#This Row],[Revenue]] )</f>
        <v>0.33409610983981691</v>
      </c>
      <c r="L20" s="7">
        <f>(CompanyData[[#This Row],[Defective Units]]/CompanyData[[#This Row],[Production Volume]])</f>
        <v>2.6492942453854505E-2</v>
      </c>
      <c r="M20" s="7">
        <f>(CompanyData[[#This Row],[Return Units]]/CompanyData[[#This Row],[Production Volume]])</f>
        <v>1.4657980456026058E-2</v>
      </c>
      <c r="N20" s="7">
        <f>(CompanyData[[#This Row],[Downtime (hrs)]]/CompanyData[[#This Row],[Available Prod Hours]])</f>
        <v>1.6666666666666666E-2</v>
      </c>
      <c r="O20" s="8">
        <v>0.95</v>
      </c>
      <c r="P20" s="8">
        <v>15</v>
      </c>
      <c r="Q20" s="8">
        <v>3.8</v>
      </c>
      <c r="R20" s="10">
        <v>0.88481818181818195</v>
      </c>
      <c r="S20" s="10">
        <v>0.82692540792540792</v>
      </c>
      <c r="T20" s="10">
        <v>0.8511806526806529</v>
      </c>
      <c r="U20"/>
      <c r="V20"/>
      <c r="W20"/>
      <c r="X20"/>
    </row>
    <row r="21" spans="1:24" x14ac:dyDescent="0.25">
      <c r="A21" s="4">
        <v>2021</v>
      </c>
      <c r="B21" s="4" t="s">
        <v>13</v>
      </c>
      <c r="C21" s="5">
        <v>4460000</v>
      </c>
      <c r="D21" s="5">
        <v>2960000</v>
      </c>
      <c r="E21" s="4">
        <v>9480</v>
      </c>
      <c r="F21" s="4">
        <v>247</v>
      </c>
      <c r="G21" s="4">
        <v>11</v>
      </c>
      <c r="H21" s="4">
        <v>744</v>
      </c>
      <c r="I21" s="4">
        <v>133</v>
      </c>
      <c r="J21" s="6">
        <f>CompanyData[[#This Row],[Revenue]] - CompanyData[[#This Row],[Operating Expense]]</f>
        <v>1500000</v>
      </c>
      <c r="K21" s="7">
        <f>(CompanyData[[#This Row],[Gross Profit]] / CompanyData[[#This Row],[Revenue]] )</f>
        <v>0.33632286995515698</v>
      </c>
      <c r="L21" s="7">
        <f>(CompanyData[[#This Row],[Defective Units]]/CompanyData[[#This Row],[Production Volume]])</f>
        <v>2.6054852320675104E-2</v>
      </c>
      <c r="M21" s="7">
        <f>(CompanyData[[#This Row],[Return Units]]/CompanyData[[#This Row],[Production Volume]])</f>
        <v>1.4029535864978904E-2</v>
      </c>
      <c r="N21" s="7">
        <f>(CompanyData[[#This Row],[Downtime (hrs)]]/CompanyData[[#This Row],[Available Prod Hours]])</f>
        <v>1.4784946236559141E-2</v>
      </c>
      <c r="O21" s="8">
        <v>0.95399999999999996</v>
      </c>
      <c r="P21" s="8">
        <v>14</v>
      </c>
      <c r="Q21" s="8">
        <v>3.8</v>
      </c>
      <c r="R21" s="10">
        <v>0.88527272727272699</v>
      </c>
      <c r="S21" s="10">
        <v>0.82766317016317004</v>
      </c>
      <c r="T21" s="10">
        <v>0.85176107226107201</v>
      </c>
      <c r="U21"/>
      <c r="V21"/>
      <c r="W21"/>
      <c r="X21"/>
    </row>
    <row r="22" spans="1:24" x14ac:dyDescent="0.25">
      <c r="A22" s="4">
        <v>2021</v>
      </c>
      <c r="B22" s="4" t="s">
        <v>14</v>
      </c>
      <c r="C22" s="5">
        <v>4610000</v>
      </c>
      <c r="D22" s="5">
        <v>3030000</v>
      </c>
      <c r="E22" s="4">
        <v>9630</v>
      </c>
      <c r="F22" s="4">
        <v>241</v>
      </c>
      <c r="G22" s="4">
        <v>10</v>
      </c>
      <c r="H22" s="4">
        <v>720</v>
      </c>
      <c r="I22" s="4">
        <v>130</v>
      </c>
      <c r="J22" s="6">
        <f>CompanyData[[#This Row],[Revenue]] - CompanyData[[#This Row],[Operating Expense]]</f>
        <v>1580000</v>
      </c>
      <c r="K22" s="7">
        <f>(CompanyData[[#This Row],[Gross Profit]] / CompanyData[[#This Row],[Revenue]] )</f>
        <v>0.34273318872017355</v>
      </c>
      <c r="L22" s="7">
        <f>(CompanyData[[#This Row],[Defective Units]]/CompanyData[[#This Row],[Production Volume]])</f>
        <v>2.5025960539979231E-2</v>
      </c>
      <c r="M22" s="7">
        <f>(CompanyData[[#This Row],[Return Units]]/CompanyData[[#This Row],[Production Volume]])</f>
        <v>1.3499480789200415E-2</v>
      </c>
      <c r="N22" s="7">
        <f>(CompanyData[[#This Row],[Downtime (hrs)]]/CompanyData[[#This Row],[Available Prod Hours]])</f>
        <v>1.3888888888888888E-2</v>
      </c>
      <c r="O22" s="8">
        <v>0.95699999999999996</v>
      </c>
      <c r="P22" s="8">
        <v>13</v>
      </c>
      <c r="Q22" s="8">
        <v>3.7</v>
      </c>
      <c r="R22" s="10">
        <v>0.88572727272727303</v>
      </c>
      <c r="S22" s="10">
        <v>0.82840093240093193</v>
      </c>
      <c r="T22" s="10">
        <v>0.85234149184149199</v>
      </c>
      <c r="U22"/>
      <c r="V22"/>
      <c r="W22"/>
      <c r="X22"/>
    </row>
    <row r="23" spans="1:24" x14ac:dyDescent="0.25">
      <c r="A23" s="4">
        <v>2021</v>
      </c>
      <c r="B23" s="4" t="s">
        <v>15</v>
      </c>
      <c r="C23" s="5">
        <v>4550000</v>
      </c>
      <c r="D23" s="5">
        <v>3010000</v>
      </c>
      <c r="E23" s="4">
        <v>9540</v>
      </c>
      <c r="F23" s="4">
        <v>234</v>
      </c>
      <c r="G23" s="4">
        <v>10</v>
      </c>
      <c r="H23" s="4">
        <v>744</v>
      </c>
      <c r="I23" s="4">
        <v>132</v>
      </c>
      <c r="J23" s="6">
        <f>CompanyData[[#This Row],[Revenue]] - CompanyData[[#This Row],[Operating Expense]]</f>
        <v>1540000</v>
      </c>
      <c r="K23" s="7">
        <f>(CompanyData[[#This Row],[Gross Profit]] / CompanyData[[#This Row],[Revenue]] )</f>
        <v>0.33846153846153848</v>
      </c>
      <c r="L23" s="7">
        <f>(CompanyData[[#This Row],[Defective Units]]/CompanyData[[#This Row],[Production Volume]])</f>
        <v>2.4528301886792454E-2</v>
      </c>
      <c r="M23" s="7">
        <f>(CompanyData[[#This Row],[Return Units]]/CompanyData[[#This Row],[Production Volume]])</f>
        <v>1.3836477987421384E-2</v>
      </c>
      <c r="N23" s="7">
        <f>(CompanyData[[#This Row],[Downtime (hrs)]]/CompanyData[[#This Row],[Available Prod Hours]])</f>
        <v>1.3440860215053764E-2</v>
      </c>
      <c r="O23" s="8">
        <v>0.95499999999999996</v>
      </c>
      <c r="P23" s="8">
        <v>14</v>
      </c>
      <c r="Q23" s="8">
        <v>3.7</v>
      </c>
      <c r="R23" s="10">
        <v>0.88618181818181796</v>
      </c>
      <c r="S23" s="10">
        <v>0.82913869463869405</v>
      </c>
      <c r="T23" s="10">
        <v>0.85292191142191098</v>
      </c>
      <c r="U23"/>
      <c r="V23"/>
      <c r="W23"/>
      <c r="X23"/>
    </row>
    <row r="24" spans="1:24" x14ac:dyDescent="0.25">
      <c r="A24" s="4">
        <v>2021</v>
      </c>
      <c r="B24" s="4" t="s">
        <v>16</v>
      </c>
      <c r="C24" s="5">
        <v>4700000</v>
      </c>
      <c r="D24" s="5">
        <v>3090000</v>
      </c>
      <c r="E24" s="4">
        <v>9750</v>
      </c>
      <c r="F24" s="4">
        <v>237</v>
      </c>
      <c r="G24" s="4">
        <v>9</v>
      </c>
      <c r="H24" s="4">
        <v>744</v>
      </c>
      <c r="I24" s="4">
        <v>127</v>
      </c>
      <c r="J24" s="6">
        <f>CompanyData[[#This Row],[Revenue]] - CompanyData[[#This Row],[Operating Expense]]</f>
        <v>1610000</v>
      </c>
      <c r="K24" s="7">
        <f>(CompanyData[[#This Row],[Gross Profit]] / CompanyData[[#This Row],[Revenue]] )</f>
        <v>0.3425531914893617</v>
      </c>
      <c r="L24" s="7">
        <f>(CompanyData[[#This Row],[Defective Units]]/CompanyData[[#This Row],[Production Volume]])</f>
        <v>2.4307692307692308E-2</v>
      </c>
      <c r="M24" s="7">
        <f>(CompanyData[[#This Row],[Return Units]]/CompanyData[[#This Row],[Production Volume]])</f>
        <v>1.3025641025641025E-2</v>
      </c>
      <c r="N24" s="7">
        <f>(CompanyData[[#This Row],[Downtime (hrs)]]/CompanyData[[#This Row],[Available Prod Hours]])</f>
        <v>1.2096774193548387E-2</v>
      </c>
      <c r="O24" s="8">
        <v>0.95799999999999996</v>
      </c>
      <c r="P24" s="8">
        <v>13</v>
      </c>
      <c r="Q24" s="8">
        <v>3.7</v>
      </c>
      <c r="R24" s="10">
        <v>0.886636363636364</v>
      </c>
      <c r="S24" s="10">
        <v>0.82987645687645695</v>
      </c>
      <c r="T24" s="10">
        <v>0.85350233100233097</v>
      </c>
      <c r="U24"/>
      <c r="V24"/>
      <c r="W24"/>
      <c r="X24"/>
    </row>
    <row r="25" spans="1:24" x14ac:dyDescent="0.25">
      <c r="A25" s="4">
        <v>2021</v>
      </c>
      <c r="B25" s="4" t="s">
        <v>17</v>
      </c>
      <c r="C25" s="5">
        <v>4750000</v>
      </c>
      <c r="D25" s="5">
        <v>3120000</v>
      </c>
      <c r="E25" s="4">
        <v>9680</v>
      </c>
      <c r="F25" s="4">
        <v>232</v>
      </c>
      <c r="G25" s="4">
        <v>9</v>
      </c>
      <c r="H25" s="4">
        <v>720</v>
      </c>
      <c r="I25" s="4">
        <v>125</v>
      </c>
      <c r="J25" s="6">
        <f>CompanyData[[#This Row],[Revenue]] - CompanyData[[#This Row],[Operating Expense]]</f>
        <v>1630000</v>
      </c>
      <c r="K25" s="7">
        <f>(CompanyData[[#This Row],[Gross Profit]] / CompanyData[[#This Row],[Revenue]] )</f>
        <v>0.34315789473684211</v>
      </c>
      <c r="L25" s="7">
        <f>(CompanyData[[#This Row],[Defective Units]]/CompanyData[[#This Row],[Production Volume]])</f>
        <v>2.3966942148760332E-2</v>
      </c>
      <c r="M25" s="7">
        <f>(CompanyData[[#This Row],[Return Units]]/CompanyData[[#This Row],[Production Volume]])</f>
        <v>1.2913223140495868E-2</v>
      </c>
      <c r="N25" s="7">
        <f>(CompanyData[[#This Row],[Downtime (hrs)]]/CompanyData[[#This Row],[Available Prod Hours]])</f>
        <v>1.2500000000000001E-2</v>
      </c>
      <c r="O25" s="8">
        <v>0.96</v>
      </c>
      <c r="P25" s="8">
        <v>12</v>
      </c>
      <c r="Q25" s="8">
        <v>3.6</v>
      </c>
      <c r="R25" s="10">
        <v>0.88709090909090904</v>
      </c>
      <c r="S25" s="10">
        <v>0.83061421911421907</v>
      </c>
      <c r="T25" s="10">
        <v>0.85408275058274996</v>
      </c>
      <c r="U25"/>
      <c r="V25"/>
      <c r="W25"/>
      <c r="X25"/>
    </row>
    <row r="26" spans="1:24" x14ac:dyDescent="0.25">
      <c r="A26" s="4">
        <v>2021</v>
      </c>
      <c r="B26" s="4" t="s">
        <v>18</v>
      </c>
      <c r="C26" s="5">
        <v>4600000</v>
      </c>
      <c r="D26" s="5">
        <v>3060000</v>
      </c>
      <c r="E26" s="4">
        <v>9450</v>
      </c>
      <c r="F26" s="4">
        <v>232</v>
      </c>
      <c r="G26" s="4">
        <v>10</v>
      </c>
      <c r="H26" s="4">
        <v>744</v>
      </c>
      <c r="I26" s="4">
        <v>130</v>
      </c>
      <c r="J26" s="6">
        <f>CompanyData[[#This Row],[Revenue]] - CompanyData[[#This Row],[Operating Expense]]</f>
        <v>1540000</v>
      </c>
      <c r="K26" s="7">
        <f>(CompanyData[[#This Row],[Gross Profit]] / CompanyData[[#This Row],[Revenue]] )</f>
        <v>0.33478260869565218</v>
      </c>
      <c r="L26" s="7">
        <f>(CompanyData[[#This Row],[Defective Units]]/CompanyData[[#This Row],[Production Volume]])</f>
        <v>2.4550264550264551E-2</v>
      </c>
      <c r="M26" s="7">
        <f>(CompanyData[[#This Row],[Return Units]]/CompanyData[[#This Row],[Production Volume]])</f>
        <v>1.3756613756613757E-2</v>
      </c>
      <c r="N26" s="7">
        <f>(CompanyData[[#This Row],[Downtime (hrs)]]/CompanyData[[#This Row],[Available Prod Hours]])</f>
        <v>1.3440860215053764E-2</v>
      </c>
      <c r="O26" s="8">
        <v>0.95599999999999996</v>
      </c>
      <c r="P26" s="8">
        <v>13</v>
      </c>
      <c r="Q26" s="8">
        <v>3.6</v>
      </c>
      <c r="R26" s="10">
        <v>0.88754545454545497</v>
      </c>
      <c r="S26" s="10">
        <v>0.83135198135198096</v>
      </c>
      <c r="T26" s="10">
        <v>0.85466317016317006</v>
      </c>
      <c r="U26"/>
      <c r="V26"/>
      <c r="W26"/>
      <c r="X26"/>
    </row>
    <row r="27" spans="1:24" x14ac:dyDescent="0.25">
      <c r="A27" s="4">
        <v>2021</v>
      </c>
      <c r="B27" s="4" t="s">
        <v>19</v>
      </c>
      <c r="C27" s="5">
        <v>4740000</v>
      </c>
      <c r="D27" s="5">
        <v>3130000</v>
      </c>
      <c r="E27" s="4">
        <v>9630</v>
      </c>
      <c r="F27" s="4">
        <v>229</v>
      </c>
      <c r="G27" s="4">
        <v>9</v>
      </c>
      <c r="H27" s="4">
        <v>720</v>
      </c>
      <c r="I27" s="4">
        <v>126</v>
      </c>
      <c r="J27" s="6">
        <f>CompanyData[[#This Row],[Revenue]] - CompanyData[[#This Row],[Operating Expense]]</f>
        <v>1610000</v>
      </c>
      <c r="K27" s="7">
        <f>(CompanyData[[#This Row],[Gross Profit]] / CompanyData[[#This Row],[Revenue]] )</f>
        <v>0.33966244725738398</v>
      </c>
      <c r="L27" s="7">
        <f>(CompanyData[[#This Row],[Defective Units]]/CompanyData[[#This Row],[Production Volume]])</f>
        <v>2.3779854620976117E-2</v>
      </c>
      <c r="M27" s="7">
        <f>(CompanyData[[#This Row],[Return Units]]/CompanyData[[#This Row],[Production Volume]])</f>
        <v>1.3084112149532711E-2</v>
      </c>
      <c r="N27" s="7">
        <f>(CompanyData[[#This Row],[Downtime (hrs)]]/CompanyData[[#This Row],[Available Prod Hours]])</f>
        <v>1.2500000000000001E-2</v>
      </c>
      <c r="O27" s="8">
        <v>0.95899999999999996</v>
      </c>
      <c r="P27" s="8">
        <v>12</v>
      </c>
      <c r="Q27" s="8">
        <v>3.7</v>
      </c>
      <c r="R27" s="10">
        <v>0.88800000000000001</v>
      </c>
      <c r="S27" s="10">
        <v>0.83208974358974297</v>
      </c>
      <c r="T27" s="10">
        <v>0.85524358974359005</v>
      </c>
      <c r="U27"/>
      <c r="V27"/>
      <c r="W27"/>
      <c r="X27"/>
    </row>
    <row r="28" spans="1:24" x14ac:dyDescent="0.25">
      <c r="A28" s="4">
        <v>2021</v>
      </c>
      <c r="B28" s="4" t="s">
        <v>20</v>
      </c>
      <c r="C28" s="5">
        <v>4680000</v>
      </c>
      <c r="D28" s="5">
        <v>3090000</v>
      </c>
      <c r="E28" s="4">
        <v>9760</v>
      </c>
      <c r="F28" s="4">
        <v>234</v>
      </c>
      <c r="G28" s="4">
        <v>9</v>
      </c>
      <c r="H28" s="4">
        <v>744</v>
      </c>
      <c r="I28" s="4">
        <v>124</v>
      </c>
      <c r="J28" s="6">
        <f>CompanyData[[#This Row],[Revenue]] - CompanyData[[#This Row],[Operating Expense]]</f>
        <v>1590000</v>
      </c>
      <c r="K28" s="7">
        <f>(CompanyData[[#This Row],[Gross Profit]] / CompanyData[[#This Row],[Revenue]] )</f>
        <v>0.33974358974358976</v>
      </c>
      <c r="L28" s="7">
        <f>(CompanyData[[#This Row],[Defective Units]]/CompanyData[[#This Row],[Production Volume]])</f>
        <v>2.3975409836065574E-2</v>
      </c>
      <c r="M28" s="7">
        <f>(CompanyData[[#This Row],[Return Units]]/CompanyData[[#This Row],[Production Volume]])</f>
        <v>1.2704918032786885E-2</v>
      </c>
      <c r="N28" s="7">
        <f>(CompanyData[[#This Row],[Downtime (hrs)]]/CompanyData[[#This Row],[Available Prod Hours]])</f>
        <v>1.2096774193548387E-2</v>
      </c>
      <c r="O28" s="8">
        <v>0.96</v>
      </c>
      <c r="P28" s="8">
        <v>13</v>
      </c>
      <c r="Q28" s="8">
        <v>3.6</v>
      </c>
      <c r="R28" s="10">
        <v>0.88845454545454605</v>
      </c>
      <c r="S28" s="10">
        <v>0.83282750582750598</v>
      </c>
      <c r="T28" s="10">
        <v>0.85582400932400904</v>
      </c>
      <c r="U28"/>
      <c r="V28"/>
      <c r="W28"/>
      <c r="X28"/>
    </row>
    <row r="29" spans="1:24" x14ac:dyDescent="0.25">
      <c r="A29" s="4">
        <v>2022</v>
      </c>
      <c r="B29" s="4" t="s">
        <v>9</v>
      </c>
      <c r="C29" s="5">
        <v>4800000</v>
      </c>
      <c r="D29" s="5">
        <v>3190000</v>
      </c>
      <c r="E29" s="4">
        <v>9850</v>
      </c>
      <c r="F29" s="4">
        <v>227</v>
      </c>
      <c r="G29" s="4">
        <v>11</v>
      </c>
      <c r="H29" s="4">
        <v>744</v>
      </c>
      <c r="I29" s="4">
        <v>123</v>
      </c>
      <c r="J29" s="6">
        <f>CompanyData[[#This Row],[Revenue]] - CompanyData[[#This Row],[Operating Expense]]</f>
        <v>1610000</v>
      </c>
      <c r="K29" s="7">
        <f>(CompanyData[[#This Row],[Gross Profit]] / CompanyData[[#This Row],[Revenue]] )</f>
        <v>0.33541666666666664</v>
      </c>
      <c r="L29" s="7">
        <f>(CompanyData[[#This Row],[Defective Units]]/CompanyData[[#This Row],[Production Volume]])</f>
        <v>2.3045685279187818E-2</v>
      </c>
      <c r="M29" s="7">
        <f>(CompanyData[[#This Row],[Return Units]]/CompanyData[[#This Row],[Production Volume]])</f>
        <v>1.248730964467005E-2</v>
      </c>
      <c r="N29" s="7">
        <f>(CompanyData[[#This Row],[Downtime (hrs)]]/CompanyData[[#This Row],[Available Prod Hours]])</f>
        <v>1.4784946236559141E-2</v>
      </c>
      <c r="O29" s="8">
        <v>0.96199999999999997</v>
      </c>
      <c r="P29" s="8">
        <v>12</v>
      </c>
      <c r="Q29" s="8">
        <v>3.5</v>
      </c>
      <c r="R29" s="10">
        <v>0.88890909090909109</v>
      </c>
      <c r="S29" s="10">
        <v>0.83356526806526798</v>
      </c>
      <c r="T29" s="10">
        <v>0.85640442890442903</v>
      </c>
      <c r="U29"/>
      <c r="V29"/>
      <c r="W29"/>
      <c r="X29"/>
    </row>
    <row r="30" spans="1:24" x14ac:dyDescent="0.25">
      <c r="A30" s="4">
        <v>2022</v>
      </c>
      <c r="B30" s="4" t="s">
        <v>10</v>
      </c>
      <c r="C30" s="5">
        <v>4880000</v>
      </c>
      <c r="D30" s="5">
        <v>3230000</v>
      </c>
      <c r="E30" s="4">
        <v>9990</v>
      </c>
      <c r="F30" s="4">
        <v>225</v>
      </c>
      <c r="G30" s="4">
        <v>10</v>
      </c>
      <c r="H30" s="4">
        <v>672</v>
      </c>
      <c r="I30" s="4">
        <v>120</v>
      </c>
      <c r="J30" s="6">
        <f>CompanyData[[#This Row],[Revenue]] - CompanyData[[#This Row],[Operating Expense]]</f>
        <v>1650000</v>
      </c>
      <c r="K30" s="7">
        <f>(CompanyData[[#This Row],[Gross Profit]] / CompanyData[[#This Row],[Revenue]] )</f>
        <v>0.33811475409836067</v>
      </c>
      <c r="L30" s="7">
        <f>(CompanyData[[#This Row],[Defective Units]]/CompanyData[[#This Row],[Production Volume]])</f>
        <v>2.2522522522522521E-2</v>
      </c>
      <c r="M30" s="7">
        <f>(CompanyData[[#This Row],[Return Units]]/CompanyData[[#This Row],[Production Volume]])</f>
        <v>1.2012012012012012E-2</v>
      </c>
      <c r="N30" s="7">
        <f>(CompanyData[[#This Row],[Downtime (hrs)]]/CompanyData[[#This Row],[Available Prod Hours]])</f>
        <v>1.488095238095238E-2</v>
      </c>
      <c r="O30" s="8">
        <v>0.96299999999999997</v>
      </c>
      <c r="P30" s="8">
        <v>11</v>
      </c>
      <c r="Q30" s="8">
        <v>3.5</v>
      </c>
      <c r="R30" s="10">
        <v>0.88936363636363691</v>
      </c>
      <c r="S30" s="10">
        <v>0.83430303030302999</v>
      </c>
      <c r="T30" s="10">
        <v>0.85698484848484791</v>
      </c>
      <c r="U30"/>
      <c r="V30"/>
      <c r="W30"/>
      <c r="X30"/>
    </row>
    <row r="31" spans="1:24" x14ac:dyDescent="0.25">
      <c r="A31" s="4">
        <v>2022</v>
      </c>
      <c r="B31" s="4" t="s">
        <v>11</v>
      </c>
      <c r="C31" s="5">
        <v>5030000</v>
      </c>
      <c r="D31" s="5">
        <v>3300000</v>
      </c>
      <c r="E31" s="4">
        <v>10150</v>
      </c>
      <c r="F31" s="4">
        <v>223</v>
      </c>
      <c r="G31" s="4">
        <v>10</v>
      </c>
      <c r="H31" s="4">
        <v>744</v>
      </c>
      <c r="I31" s="4">
        <v>118</v>
      </c>
      <c r="J31" s="6">
        <f>CompanyData[[#This Row],[Revenue]] - CompanyData[[#This Row],[Operating Expense]]</f>
        <v>1730000</v>
      </c>
      <c r="K31" s="7">
        <f>(CompanyData[[#This Row],[Gross Profit]] / CompanyData[[#This Row],[Revenue]] )</f>
        <v>0.34393638170974156</v>
      </c>
      <c r="L31" s="7">
        <f>(CompanyData[[#This Row],[Defective Units]]/CompanyData[[#This Row],[Production Volume]])</f>
        <v>2.1970443349753694E-2</v>
      </c>
      <c r="M31" s="7">
        <f>(CompanyData[[#This Row],[Return Units]]/CompanyData[[#This Row],[Production Volume]])</f>
        <v>1.1625615763546798E-2</v>
      </c>
      <c r="N31" s="7">
        <f>(CompanyData[[#This Row],[Downtime (hrs)]]/CompanyData[[#This Row],[Available Prod Hours]])</f>
        <v>1.3440860215053764E-2</v>
      </c>
      <c r="O31" s="8">
        <v>0.96399999999999997</v>
      </c>
      <c r="P31" s="8">
        <v>11</v>
      </c>
      <c r="Q31" s="8">
        <v>3.5</v>
      </c>
      <c r="R31" s="10">
        <v>0.88981818181818195</v>
      </c>
      <c r="S31" s="10">
        <v>0.835040792540792</v>
      </c>
      <c r="T31" s="10">
        <v>0.85756526806526789</v>
      </c>
      <c r="U31"/>
      <c r="V31"/>
      <c r="W31"/>
      <c r="X31"/>
    </row>
    <row r="32" spans="1:24" x14ac:dyDescent="0.25">
      <c r="A32" s="4">
        <v>2022</v>
      </c>
      <c r="B32" s="4" t="s">
        <v>12</v>
      </c>
      <c r="C32" s="5">
        <v>4900000</v>
      </c>
      <c r="D32" s="5">
        <v>3240000</v>
      </c>
      <c r="E32" s="4">
        <v>9850</v>
      </c>
      <c r="F32" s="4">
        <v>222</v>
      </c>
      <c r="G32" s="4">
        <v>11</v>
      </c>
      <c r="H32" s="4">
        <v>720</v>
      </c>
      <c r="I32" s="4">
        <v>122</v>
      </c>
      <c r="J32" s="6">
        <f>CompanyData[[#This Row],[Revenue]] - CompanyData[[#This Row],[Operating Expense]]</f>
        <v>1660000</v>
      </c>
      <c r="K32" s="7">
        <f>(CompanyData[[#This Row],[Gross Profit]] / CompanyData[[#This Row],[Revenue]] )</f>
        <v>0.33877551020408164</v>
      </c>
      <c r="L32" s="7">
        <f>(CompanyData[[#This Row],[Defective Units]]/CompanyData[[#This Row],[Production Volume]])</f>
        <v>2.2538071065989849E-2</v>
      </c>
      <c r="M32" s="7">
        <f>(CompanyData[[#This Row],[Return Units]]/CompanyData[[#This Row],[Production Volume]])</f>
        <v>1.2385786802030457E-2</v>
      </c>
      <c r="N32" s="7">
        <f>(CompanyData[[#This Row],[Downtime (hrs)]]/CompanyData[[#This Row],[Available Prod Hours]])</f>
        <v>1.5277777777777777E-2</v>
      </c>
      <c r="O32" s="8">
        <v>0.96</v>
      </c>
      <c r="P32" s="8">
        <v>12</v>
      </c>
      <c r="Q32" s="8">
        <v>3.4</v>
      </c>
      <c r="R32" s="10">
        <v>0.89027272727272699</v>
      </c>
      <c r="S32" s="10">
        <v>0.83577855477855489</v>
      </c>
      <c r="T32" s="10">
        <v>0.85814568764568699</v>
      </c>
      <c r="U32"/>
      <c r="V32"/>
      <c r="W32"/>
      <c r="X32"/>
    </row>
    <row r="33" spans="1:24" x14ac:dyDescent="0.25">
      <c r="A33" s="4">
        <v>2022</v>
      </c>
      <c r="B33" s="4" t="s">
        <v>13</v>
      </c>
      <c r="C33" s="5">
        <v>4950000</v>
      </c>
      <c r="D33" s="5">
        <v>3270000</v>
      </c>
      <c r="E33" s="4">
        <v>10120</v>
      </c>
      <c r="F33" s="4">
        <v>223</v>
      </c>
      <c r="G33" s="4">
        <v>10</v>
      </c>
      <c r="H33" s="4">
        <v>744</v>
      </c>
      <c r="I33" s="4">
        <v>119</v>
      </c>
      <c r="J33" s="6">
        <f>CompanyData[[#This Row],[Revenue]] - CompanyData[[#This Row],[Operating Expense]]</f>
        <v>1680000</v>
      </c>
      <c r="K33" s="7">
        <f>(CompanyData[[#This Row],[Gross Profit]] / CompanyData[[#This Row],[Revenue]] )</f>
        <v>0.33939393939393941</v>
      </c>
      <c r="L33" s="7">
        <f>(CompanyData[[#This Row],[Defective Units]]/CompanyData[[#This Row],[Production Volume]])</f>
        <v>2.2035573122529645E-2</v>
      </c>
      <c r="M33" s="7">
        <f>(CompanyData[[#This Row],[Return Units]]/CompanyData[[#This Row],[Production Volume]])</f>
        <v>1.1758893280632411E-2</v>
      </c>
      <c r="N33" s="7">
        <f>(CompanyData[[#This Row],[Downtime (hrs)]]/CompanyData[[#This Row],[Available Prod Hours]])</f>
        <v>1.3440860215053764E-2</v>
      </c>
      <c r="O33" s="8">
        <v>0.96099999999999997</v>
      </c>
      <c r="P33" s="8">
        <v>11</v>
      </c>
      <c r="Q33" s="8">
        <v>3.4</v>
      </c>
      <c r="R33" s="10">
        <v>0.89072727272727303</v>
      </c>
      <c r="S33" s="10">
        <v>0.83651631701631701</v>
      </c>
      <c r="T33" s="10">
        <v>0.85872610722610698</v>
      </c>
      <c r="U33"/>
      <c r="V33"/>
      <c r="W33"/>
      <c r="X33"/>
    </row>
    <row r="34" spans="1:24" x14ac:dyDescent="0.25">
      <c r="A34" s="4">
        <v>2022</v>
      </c>
      <c r="B34" s="4" t="s">
        <v>14</v>
      </c>
      <c r="C34" s="5">
        <v>5150000</v>
      </c>
      <c r="D34" s="5">
        <v>3360000</v>
      </c>
      <c r="E34" s="4">
        <v>10320</v>
      </c>
      <c r="F34" s="4">
        <v>222</v>
      </c>
      <c r="G34" s="4">
        <v>9</v>
      </c>
      <c r="H34" s="4">
        <v>720</v>
      </c>
      <c r="I34" s="4">
        <v>117</v>
      </c>
      <c r="J34" s="6">
        <f>CompanyData[[#This Row],[Revenue]] - CompanyData[[#This Row],[Operating Expense]]</f>
        <v>1790000</v>
      </c>
      <c r="K34" s="7">
        <f>(CompanyData[[#This Row],[Gross Profit]] / CompanyData[[#This Row],[Revenue]] )</f>
        <v>0.34757281553398056</v>
      </c>
      <c r="L34" s="7">
        <f>(CompanyData[[#This Row],[Defective Units]]/CompanyData[[#This Row],[Production Volume]])</f>
        <v>2.1511627906976746E-2</v>
      </c>
      <c r="M34" s="7">
        <f>(CompanyData[[#This Row],[Return Units]]/CompanyData[[#This Row],[Production Volume]])</f>
        <v>1.1337209302325582E-2</v>
      </c>
      <c r="N34" s="7">
        <f>(CompanyData[[#This Row],[Downtime (hrs)]]/CompanyData[[#This Row],[Available Prod Hours]])</f>
        <v>1.2500000000000001E-2</v>
      </c>
      <c r="O34" s="8">
        <v>0.96499999999999997</v>
      </c>
      <c r="P34" s="8">
        <v>10</v>
      </c>
      <c r="Q34" s="8">
        <v>3.4</v>
      </c>
      <c r="R34" s="10">
        <v>0.89118181818181796</v>
      </c>
      <c r="S34" s="10">
        <v>0.83725407925407891</v>
      </c>
      <c r="T34" s="10">
        <v>0.85930652680652697</v>
      </c>
      <c r="U34"/>
      <c r="V34"/>
      <c r="W34"/>
      <c r="X34"/>
    </row>
    <row r="35" spans="1:24" x14ac:dyDescent="0.25">
      <c r="A35" s="4">
        <v>2022</v>
      </c>
      <c r="B35" s="4" t="s">
        <v>15</v>
      </c>
      <c r="C35" s="5">
        <v>5090000</v>
      </c>
      <c r="D35" s="5">
        <v>3330000</v>
      </c>
      <c r="E35" s="4">
        <v>10140</v>
      </c>
      <c r="F35" s="4">
        <v>213</v>
      </c>
      <c r="G35" s="4">
        <v>9</v>
      </c>
      <c r="H35" s="4">
        <v>744</v>
      </c>
      <c r="I35" s="4">
        <v>118</v>
      </c>
      <c r="J35" s="6">
        <f>CompanyData[[#This Row],[Revenue]] - CompanyData[[#This Row],[Operating Expense]]</f>
        <v>1760000</v>
      </c>
      <c r="K35" s="7">
        <f>(CompanyData[[#This Row],[Gross Profit]] / CompanyData[[#This Row],[Revenue]] )</f>
        <v>0.34577603143418467</v>
      </c>
      <c r="L35" s="7">
        <f>(CompanyData[[#This Row],[Defective Units]]/CompanyData[[#This Row],[Production Volume]])</f>
        <v>2.1005917159763313E-2</v>
      </c>
      <c r="M35" s="7">
        <f>(CompanyData[[#This Row],[Return Units]]/CompanyData[[#This Row],[Production Volume]])</f>
        <v>1.1637080867850098E-2</v>
      </c>
      <c r="N35" s="7">
        <f>(CompanyData[[#This Row],[Downtime (hrs)]]/CompanyData[[#This Row],[Available Prod Hours]])</f>
        <v>1.2096774193548387E-2</v>
      </c>
      <c r="O35" s="8">
        <v>0.96599999999999997</v>
      </c>
      <c r="P35" s="8">
        <v>9</v>
      </c>
      <c r="Q35" s="8">
        <v>3.3</v>
      </c>
      <c r="R35" s="10">
        <v>0.891636363636364</v>
      </c>
      <c r="S35" s="10">
        <v>0.83799184149184103</v>
      </c>
      <c r="T35" s="10">
        <v>0.85988694638694596</v>
      </c>
      <c r="U35"/>
      <c r="V35"/>
      <c r="W35"/>
      <c r="X35"/>
    </row>
    <row r="36" spans="1:24" x14ac:dyDescent="0.25">
      <c r="A36" s="4">
        <v>2022</v>
      </c>
      <c r="B36" s="4" t="s">
        <v>16</v>
      </c>
      <c r="C36" s="5">
        <v>5250000</v>
      </c>
      <c r="D36" s="5">
        <v>3400000</v>
      </c>
      <c r="E36" s="4">
        <v>10400</v>
      </c>
      <c r="F36" s="4">
        <v>213</v>
      </c>
      <c r="G36" s="4">
        <v>9</v>
      </c>
      <c r="H36" s="4">
        <v>744</v>
      </c>
      <c r="I36" s="4">
        <v>116</v>
      </c>
      <c r="J36" s="6">
        <f>CompanyData[[#This Row],[Revenue]] - CompanyData[[#This Row],[Operating Expense]]</f>
        <v>1850000</v>
      </c>
      <c r="K36" s="7">
        <f>(CompanyData[[#This Row],[Gross Profit]] / CompanyData[[#This Row],[Revenue]] )</f>
        <v>0.35238095238095241</v>
      </c>
      <c r="L36" s="7">
        <f>(CompanyData[[#This Row],[Defective Units]]/CompanyData[[#This Row],[Production Volume]])</f>
        <v>2.0480769230769229E-2</v>
      </c>
      <c r="M36" s="7">
        <f>(CompanyData[[#This Row],[Return Units]]/CompanyData[[#This Row],[Production Volume]])</f>
        <v>1.1153846153846153E-2</v>
      </c>
      <c r="N36" s="7">
        <f>(CompanyData[[#This Row],[Downtime (hrs)]]/CompanyData[[#This Row],[Available Prod Hours]])</f>
        <v>1.2096774193548387E-2</v>
      </c>
      <c r="O36" s="8">
        <v>0.96699999999999997</v>
      </c>
      <c r="P36" s="8">
        <v>9</v>
      </c>
      <c r="Q36" s="8">
        <v>3.3</v>
      </c>
      <c r="R36" s="10">
        <v>0.89209090909090905</v>
      </c>
      <c r="S36" s="10">
        <v>0.83872960372960403</v>
      </c>
      <c r="T36" s="10">
        <v>0.86046736596736595</v>
      </c>
      <c r="U36"/>
      <c r="V36"/>
      <c r="W36"/>
      <c r="X36"/>
    </row>
    <row r="37" spans="1:24" x14ac:dyDescent="0.25">
      <c r="A37" s="4">
        <v>2022</v>
      </c>
      <c r="B37" s="4" t="s">
        <v>17</v>
      </c>
      <c r="C37" s="5">
        <v>5300000</v>
      </c>
      <c r="D37" s="5">
        <v>3430000</v>
      </c>
      <c r="E37" s="4">
        <v>10280</v>
      </c>
      <c r="F37" s="4">
        <v>216</v>
      </c>
      <c r="G37" s="4">
        <v>8</v>
      </c>
      <c r="H37" s="4">
        <v>720</v>
      </c>
      <c r="I37" s="4">
        <v>114</v>
      </c>
      <c r="J37" s="6">
        <f>CompanyData[[#This Row],[Revenue]] - CompanyData[[#This Row],[Operating Expense]]</f>
        <v>1870000</v>
      </c>
      <c r="K37" s="7">
        <f>(CompanyData[[#This Row],[Gross Profit]] / CompanyData[[#This Row],[Revenue]] )</f>
        <v>0.35283018867924526</v>
      </c>
      <c r="L37" s="7">
        <f>(CompanyData[[#This Row],[Defective Units]]/CompanyData[[#This Row],[Production Volume]])</f>
        <v>2.1011673151750974E-2</v>
      </c>
      <c r="M37" s="7">
        <f>(CompanyData[[#This Row],[Return Units]]/CompanyData[[#This Row],[Production Volume]])</f>
        <v>1.1089494163424125E-2</v>
      </c>
      <c r="N37" s="7">
        <f>(CompanyData[[#This Row],[Downtime (hrs)]]/CompanyData[[#This Row],[Available Prod Hours]])</f>
        <v>1.1111111111111112E-2</v>
      </c>
      <c r="O37" s="8">
        <v>0.96799999999999997</v>
      </c>
      <c r="P37" s="8">
        <v>10</v>
      </c>
      <c r="Q37" s="8">
        <v>3.3</v>
      </c>
      <c r="R37" s="10">
        <v>0.89254545454545497</v>
      </c>
      <c r="S37" s="10">
        <v>0.83946736596736604</v>
      </c>
      <c r="T37" s="10">
        <v>0.86104778554778505</v>
      </c>
      <c r="U37"/>
      <c r="V37"/>
      <c r="W37"/>
      <c r="X37"/>
    </row>
    <row r="38" spans="1:24" x14ac:dyDescent="0.25">
      <c r="A38" s="4">
        <v>2022</v>
      </c>
      <c r="B38" s="4" t="s">
        <v>18</v>
      </c>
      <c r="C38" s="5">
        <v>5130000</v>
      </c>
      <c r="D38" s="5">
        <v>3350000</v>
      </c>
      <c r="E38" s="4">
        <v>10050</v>
      </c>
      <c r="F38" s="4">
        <v>216</v>
      </c>
      <c r="G38" s="4">
        <v>9</v>
      </c>
      <c r="H38" s="4">
        <v>744</v>
      </c>
      <c r="I38" s="4">
        <v>118</v>
      </c>
      <c r="J38" s="6">
        <f>CompanyData[[#This Row],[Revenue]] - CompanyData[[#This Row],[Operating Expense]]</f>
        <v>1780000</v>
      </c>
      <c r="K38" s="7">
        <f>(CompanyData[[#This Row],[Gross Profit]] / CompanyData[[#This Row],[Revenue]] )</f>
        <v>0.34697855750487328</v>
      </c>
      <c r="L38" s="7">
        <f>(CompanyData[[#This Row],[Defective Units]]/CompanyData[[#This Row],[Production Volume]])</f>
        <v>2.1492537313432834E-2</v>
      </c>
      <c r="M38" s="7">
        <f>(CompanyData[[#This Row],[Return Units]]/CompanyData[[#This Row],[Production Volume]])</f>
        <v>1.1741293532338309E-2</v>
      </c>
      <c r="N38" s="7">
        <f>(CompanyData[[#This Row],[Downtime (hrs)]]/CompanyData[[#This Row],[Available Prod Hours]])</f>
        <v>1.2096774193548387E-2</v>
      </c>
      <c r="O38" s="8">
        <v>0.96599999999999997</v>
      </c>
      <c r="P38" s="8">
        <v>9</v>
      </c>
      <c r="Q38" s="8">
        <v>3.2</v>
      </c>
      <c r="R38" s="10">
        <v>0.89300000000000002</v>
      </c>
      <c r="S38" s="10">
        <v>0.84020512820512805</v>
      </c>
      <c r="T38" s="10">
        <v>0.86162820512820504</v>
      </c>
      <c r="U38"/>
      <c r="V38"/>
      <c r="W38"/>
      <c r="X38"/>
    </row>
    <row r="39" spans="1:24" x14ac:dyDescent="0.25">
      <c r="A39" s="4">
        <v>2022</v>
      </c>
      <c r="B39" s="4" t="s">
        <v>19</v>
      </c>
      <c r="C39" s="5">
        <v>5280000</v>
      </c>
      <c r="D39" s="5">
        <v>3435000</v>
      </c>
      <c r="E39" s="4">
        <v>10300</v>
      </c>
      <c r="F39" s="4">
        <v>214</v>
      </c>
      <c r="G39" s="4">
        <v>8</v>
      </c>
      <c r="H39" s="4">
        <v>720</v>
      </c>
      <c r="I39" s="4">
        <v>116</v>
      </c>
      <c r="J39" s="6">
        <f>CompanyData[[#This Row],[Revenue]] - CompanyData[[#This Row],[Operating Expense]]</f>
        <v>1845000</v>
      </c>
      <c r="K39" s="7">
        <f>(CompanyData[[#This Row],[Gross Profit]] / CompanyData[[#This Row],[Revenue]] )</f>
        <v>0.34943181818181818</v>
      </c>
      <c r="L39" s="7">
        <f>(CompanyData[[#This Row],[Defective Units]]/CompanyData[[#This Row],[Production Volume]])</f>
        <v>2.0776699029126214E-2</v>
      </c>
      <c r="M39" s="7">
        <f>(CompanyData[[#This Row],[Return Units]]/CompanyData[[#This Row],[Production Volume]])</f>
        <v>1.1262135922330097E-2</v>
      </c>
      <c r="N39" s="7">
        <f>(CompanyData[[#This Row],[Downtime (hrs)]]/CompanyData[[#This Row],[Available Prod Hours]])</f>
        <v>1.1111111111111112E-2</v>
      </c>
      <c r="O39" s="8">
        <v>0.96899999999999997</v>
      </c>
      <c r="P39" s="8">
        <v>9</v>
      </c>
      <c r="Q39" s="8">
        <v>3.3</v>
      </c>
      <c r="R39" s="10">
        <v>0.89345454545454606</v>
      </c>
      <c r="S39" s="10">
        <v>0.84094289044288995</v>
      </c>
      <c r="T39" s="10">
        <v>0.86220862470862503</v>
      </c>
      <c r="U39"/>
      <c r="V39"/>
      <c r="W39"/>
      <c r="X39"/>
    </row>
    <row r="40" spans="1:24" x14ac:dyDescent="0.25">
      <c r="A40" s="4">
        <v>2022</v>
      </c>
      <c r="B40" s="4" t="s">
        <v>20</v>
      </c>
      <c r="C40" s="5">
        <v>5200000</v>
      </c>
      <c r="D40" s="5">
        <v>3385000</v>
      </c>
      <c r="E40" s="4">
        <v>10410</v>
      </c>
      <c r="F40" s="4">
        <v>219</v>
      </c>
      <c r="G40" s="4">
        <v>8</v>
      </c>
      <c r="H40" s="4">
        <v>744</v>
      </c>
      <c r="I40" s="4">
        <v>113</v>
      </c>
      <c r="J40" s="6">
        <f>CompanyData[[#This Row],[Revenue]] - CompanyData[[#This Row],[Operating Expense]]</f>
        <v>1815000</v>
      </c>
      <c r="K40" s="7">
        <f>(CompanyData[[#This Row],[Gross Profit]] / CompanyData[[#This Row],[Revenue]] )</f>
        <v>0.34903846153846152</v>
      </c>
      <c r="L40" s="7">
        <f>(CompanyData[[#This Row],[Defective Units]]/CompanyData[[#This Row],[Production Volume]])</f>
        <v>2.1037463976945246E-2</v>
      </c>
      <c r="M40" s="7">
        <f>(CompanyData[[#This Row],[Return Units]]/CompanyData[[#This Row],[Production Volume]])</f>
        <v>1.085494716618636E-2</v>
      </c>
      <c r="N40" s="7">
        <f>(CompanyData[[#This Row],[Downtime (hrs)]]/CompanyData[[#This Row],[Available Prod Hours]])</f>
        <v>1.0752688172043012E-2</v>
      </c>
      <c r="O40" s="8">
        <v>0.97</v>
      </c>
      <c r="P40" s="8">
        <v>10</v>
      </c>
      <c r="Q40" s="8">
        <v>3.2</v>
      </c>
      <c r="R40" s="10">
        <v>0.8939090909090911</v>
      </c>
      <c r="S40" s="10">
        <v>0.84168065268065206</v>
      </c>
      <c r="T40" s="10">
        <v>0.86278904428904402</v>
      </c>
      <c r="U40"/>
      <c r="V40"/>
      <c r="W40"/>
      <c r="X40"/>
    </row>
    <row r="41" spans="1:24" x14ac:dyDescent="0.25">
      <c r="A41" s="4">
        <v>2023</v>
      </c>
      <c r="B41" s="4" t="s">
        <v>9</v>
      </c>
      <c r="C41" s="5">
        <v>5340000</v>
      </c>
      <c r="D41" s="5">
        <v>3150000</v>
      </c>
      <c r="E41" s="4">
        <v>9820</v>
      </c>
      <c r="F41" s="4">
        <v>206</v>
      </c>
      <c r="G41" s="4">
        <v>5</v>
      </c>
      <c r="H41" s="4">
        <v>744</v>
      </c>
      <c r="I41" s="4">
        <v>120</v>
      </c>
      <c r="J41" s="6">
        <f>CompanyData[[#This Row],[Revenue]] - CompanyData[[#This Row],[Operating Expense]]</f>
        <v>2190000</v>
      </c>
      <c r="K41" s="7">
        <f>(CompanyData[[#This Row],[Gross Profit]] / CompanyData[[#This Row],[Revenue]] )</f>
        <v>0.4101123595505618</v>
      </c>
      <c r="L41" s="7">
        <f>(CompanyData[[#This Row],[Defective Units]]/CompanyData[[#This Row],[Production Volume]])</f>
        <v>2.0977596741344195E-2</v>
      </c>
      <c r="M41" s="7">
        <f>(CompanyData[[#This Row],[Return Units]]/CompanyData[[#This Row],[Production Volume]])</f>
        <v>1.2219959266802444E-2</v>
      </c>
      <c r="N41" s="7">
        <f>(CompanyData[[#This Row],[Downtime (hrs)]]/CompanyData[[#This Row],[Available Prod Hours]])</f>
        <v>6.7204301075268818E-3</v>
      </c>
      <c r="O41" s="8">
        <v>0.96799999999999997</v>
      </c>
      <c r="P41" s="8">
        <v>11</v>
      </c>
      <c r="Q41" s="8">
        <v>3.3</v>
      </c>
      <c r="R41" s="10">
        <v>0.89436363636363692</v>
      </c>
      <c r="S41" s="10">
        <v>0.84241841491841496</v>
      </c>
      <c r="T41" s="10">
        <v>0.86336946386946389</v>
      </c>
      <c r="U41"/>
      <c r="V41"/>
      <c r="W41"/>
      <c r="X41"/>
    </row>
    <row r="42" spans="1:24" x14ac:dyDescent="0.25">
      <c r="A42" s="4">
        <v>2023</v>
      </c>
      <c r="B42" s="4" t="s">
        <v>10</v>
      </c>
      <c r="C42" s="5">
        <v>5280000</v>
      </c>
      <c r="D42" s="5">
        <v>2950000</v>
      </c>
      <c r="E42" s="4">
        <v>10430</v>
      </c>
      <c r="F42" s="4">
        <v>240</v>
      </c>
      <c r="G42" s="4">
        <v>8</v>
      </c>
      <c r="H42" s="4">
        <v>672</v>
      </c>
      <c r="I42" s="4">
        <v>115</v>
      </c>
      <c r="J42" s="6">
        <f>CompanyData[[#This Row],[Revenue]] - CompanyData[[#This Row],[Operating Expense]]</f>
        <v>2330000</v>
      </c>
      <c r="K42" s="7">
        <f>(CompanyData[[#This Row],[Gross Profit]] / CompanyData[[#This Row],[Revenue]] )</f>
        <v>0.44128787878787878</v>
      </c>
      <c r="L42" s="7">
        <f>(CompanyData[[#This Row],[Defective Units]]/CompanyData[[#This Row],[Production Volume]])</f>
        <v>2.3010546500479387E-2</v>
      </c>
      <c r="M42" s="7">
        <f>(CompanyData[[#This Row],[Return Units]]/CompanyData[[#This Row],[Production Volume]])</f>
        <v>1.1025886864813039E-2</v>
      </c>
      <c r="N42" s="7">
        <f>(CompanyData[[#This Row],[Downtime (hrs)]]/CompanyData[[#This Row],[Available Prod Hours]])</f>
        <v>1.1904761904761904E-2</v>
      </c>
      <c r="O42" s="8">
        <v>0.97</v>
      </c>
      <c r="P42" s="8">
        <v>10</v>
      </c>
      <c r="Q42" s="8">
        <v>3.3</v>
      </c>
      <c r="R42" s="10">
        <v>0.89481818181818196</v>
      </c>
      <c r="S42" s="10">
        <v>0.84315617715617708</v>
      </c>
      <c r="T42" s="10">
        <v>0.8639498834498831</v>
      </c>
      <c r="U42"/>
      <c r="V42"/>
      <c r="W42"/>
      <c r="X42"/>
    </row>
    <row r="43" spans="1:24" x14ac:dyDescent="0.25">
      <c r="A43" s="4">
        <v>2023</v>
      </c>
      <c r="B43" s="4" t="s">
        <v>11</v>
      </c>
      <c r="C43" s="5">
        <v>4980000</v>
      </c>
      <c r="D43" s="5">
        <v>3000000</v>
      </c>
      <c r="E43" s="4">
        <v>10480</v>
      </c>
      <c r="F43" s="4">
        <v>262</v>
      </c>
      <c r="G43" s="4">
        <v>7</v>
      </c>
      <c r="H43" s="4">
        <v>744</v>
      </c>
      <c r="I43" s="4">
        <v>110</v>
      </c>
      <c r="J43" s="6">
        <f>CompanyData[[#This Row],[Revenue]] - CompanyData[[#This Row],[Operating Expense]]</f>
        <v>1980000</v>
      </c>
      <c r="K43" s="7">
        <f>(CompanyData[[#This Row],[Gross Profit]] / CompanyData[[#This Row],[Revenue]] )</f>
        <v>0.39759036144578314</v>
      </c>
      <c r="L43" s="7">
        <f>(CompanyData[[#This Row],[Defective Units]]/CompanyData[[#This Row],[Production Volume]])</f>
        <v>2.5000000000000001E-2</v>
      </c>
      <c r="M43" s="7">
        <f>(CompanyData[[#This Row],[Return Units]]/CompanyData[[#This Row],[Production Volume]])</f>
        <v>1.049618320610687E-2</v>
      </c>
      <c r="N43" s="7">
        <f>(CompanyData[[#This Row],[Downtime (hrs)]]/CompanyData[[#This Row],[Available Prod Hours]])</f>
        <v>9.4086021505376347E-3</v>
      </c>
      <c r="O43" s="8">
        <v>0.97099999999999997</v>
      </c>
      <c r="P43" s="8">
        <v>9</v>
      </c>
      <c r="Q43" s="8">
        <v>3.2</v>
      </c>
      <c r="R43" s="10">
        <v>0.895272727272727</v>
      </c>
      <c r="S43" s="10">
        <v>0.84389393939393897</v>
      </c>
      <c r="T43" s="10">
        <v>0.86453030303030298</v>
      </c>
      <c r="U43"/>
      <c r="V43"/>
      <c r="W43"/>
      <c r="X43"/>
    </row>
    <row r="44" spans="1:24" x14ac:dyDescent="0.25">
      <c r="A44" s="4">
        <v>2023</v>
      </c>
      <c r="B44" s="4" t="s">
        <v>12</v>
      </c>
      <c r="C44" s="5">
        <v>5130000</v>
      </c>
      <c r="D44" s="5">
        <v>3070000</v>
      </c>
      <c r="E44" s="4">
        <v>10940</v>
      </c>
      <c r="F44" s="4">
        <v>230</v>
      </c>
      <c r="G44" s="4">
        <v>8</v>
      </c>
      <c r="H44" s="4">
        <v>720</v>
      </c>
      <c r="I44" s="4">
        <v>118</v>
      </c>
      <c r="J44" s="6">
        <f>CompanyData[[#This Row],[Revenue]] - CompanyData[[#This Row],[Operating Expense]]</f>
        <v>2060000</v>
      </c>
      <c r="K44" s="7">
        <f>(CompanyData[[#This Row],[Gross Profit]] / CompanyData[[#This Row],[Revenue]] )</f>
        <v>0.40155945419103312</v>
      </c>
      <c r="L44" s="7">
        <f>(CompanyData[[#This Row],[Defective Units]]/CompanyData[[#This Row],[Production Volume]])</f>
        <v>2.1023765996343691E-2</v>
      </c>
      <c r="M44" s="7">
        <f>(CompanyData[[#This Row],[Return Units]]/CompanyData[[#This Row],[Production Volume]])</f>
        <v>1.0786106032906764E-2</v>
      </c>
      <c r="N44" s="7">
        <f>(CompanyData[[#This Row],[Downtime (hrs)]]/CompanyData[[#This Row],[Available Prod Hours]])</f>
        <v>1.1111111111111112E-2</v>
      </c>
      <c r="O44" s="8">
        <v>0.96699999999999997</v>
      </c>
      <c r="P44" s="8">
        <v>10</v>
      </c>
      <c r="Q44" s="8">
        <v>3.2</v>
      </c>
      <c r="R44" s="10">
        <v>0.89572727272727304</v>
      </c>
      <c r="S44" s="10">
        <v>0.84463170163170109</v>
      </c>
      <c r="T44" s="10">
        <v>0.86511072261072197</v>
      </c>
      <c r="U44"/>
      <c r="V44"/>
      <c r="W44"/>
      <c r="X44"/>
    </row>
    <row r="45" spans="1:24" x14ac:dyDescent="0.25">
      <c r="A45" s="4">
        <v>2023</v>
      </c>
      <c r="B45" s="4" t="s">
        <v>13</v>
      </c>
      <c r="C45" s="5">
        <v>4980000</v>
      </c>
      <c r="D45" s="5">
        <v>3200000</v>
      </c>
      <c r="E45" s="4">
        <v>9520</v>
      </c>
      <c r="F45" s="4">
        <v>210</v>
      </c>
      <c r="G45" s="4">
        <v>9</v>
      </c>
      <c r="H45" s="4">
        <v>744</v>
      </c>
      <c r="I45" s="4">
        <v>112</v>
      </c>
      <c r="J45" s="6">
        <f>CompanyData[[#This Row],[Revenue]] - CompanyData[[#This Row],[Operating Expense]]</f>
        <v>1780000</v>
      </c>
      <c r="K45" s="7">
        <f>(CompanyData[[#This Row],[Gross Profit]] / CompanyData[[#This Row],[Revenue]] )</f>
        <v>0.35742971887550201</v>
      </c>
      <c r="L45" s="7">
        <f>(CompanyData[[#This Row],[Defective Units]]/CompanyData[[#This Row],[Production Volume]])</f>
        <v>2.2058823529411766E-2</v>
      </c>
      <c r="M45" s="7">
        <f>(CompanyData[[#This Row],[Return Units]]/CompanyData[[#This Row],[Production Volume]])</f>
        <v>1.1764705882352941E-2</v>
      </c>
      <c r="N45" s="7">
        <f>(CompanyData[[#This Row],[Downtime (hrs)]]/CompanyData[[#This Row],[Available Prod Hours]])</f>
        <v>1.2096774193548387E-2</v>
      </c>
      <c r="O45" s="8">
        <v>0.96499999999999997</v>
      </c>
      <c r="P45" s="8">
        <v>9</v>
      </c>
      <c r="Q45" s="8">
        <v>3.1</v>
      </c>
      <c r="R45" s="10">
        <v>0.89618181818181797</v>
      </c>
      <c r="S45" s="10">
        <v>0.84536946386946399</v>
      </c>
      <c r="T45" s="10">
        <v>0.86569114219114196</v>
      </c>
      <c r="U45"/>
      <c r="V45"/>
      <c r="W45"/>
      <c r="X45"/>
    </row>
    <row r="46" spans="1:24" x14ac:dyDescent="0.25">
      <c r="A46" s="4">
        <v>2023</v>
      </c>
      <c r="B46" s="4" t="s">
        <v>14</v>
      </c>
      <c r="C46" s="5">
        <v>5370000</v>
      </c>
      <c r="D46" s="5">
        <v>2920000</v>
      </c>
      <c r="E46" s="4">
        <v>10830</v>
      </c>
      <c r="F46" s="4">
        <v>314</v>
      </c>
      <c r="G46" s="4">
        <v>5</v>
      </c>
      <c r="H46" s="4">
        <v>720</v>
      </c>
      <c r="I46" s="4">
        <v>125</v>
      </c>
      <c r="J46" s="6">
        <f>CompanyData[[#This Row],[Revenue]] - CompanyData[[#This Row],[Operating Expense]]</f>
        <v>2450000</v>
      </c>
      <c r="K46" s="7">
        <f>(CompanyData[[#This Row],[Gross Profit]] / CompanyData[[#This Row],[Revenue]] )</f>
        <v>0.45623836126629425</v>
      </c>
      <c r="L46" s="7">
        <f>(CompanyData[[#This Row],[Defective Units]]/CompanyData[[#This Row],[Production Volume]])</f>
        <v>2.8993536472760848E-2</v>
      </c>
      <c r="M46" s="7">
        <f>(CompanyData[[#This Row],[Return Units]]/CompanyData[[#This Row],[Production Volume]])</f>
        <v>1.1542012927054479E-2</v>
      </c>
      <c r="N46" s="7">
        <f>(CompanyData[[#This Row],[Downtime (hrs)]]/CompanyData[[#This Row],[Available Prod Hours]])</f>
        <v>6.9444444444444441E-3</v>
      </c>
      <c r="O46" s="8">
        <v>0.97199999999999998</v>
      </c>
      <c r="P46" s="8">
        <v>8</v>
      </c>
      <c r="Q46" s="8">
        <v>3.1</v>
      </c>
      <c r="R46" s="10">
        <v>0.89663636363636401</v>
      </c>
      <c r="S46" s="10">
        <v>0.846107226107226</v>
      </c>
      <c r="T46" s="10">
        <v>0.86627156177156195</v>
      </c>
      <c r="U46"/>
      <c r="V46"/>
      <c r="W46"/>
      <c r="X46"/>
    </row>
    <row r="47" spans="1:24" x14ac:dyDescent="0.25">
      <c r="A47" s="4">
        <v>2023</v>
      </c>
      <c r="B47" s="4" t="s">
        <v>15</v>
      </c>
      <c r="C47" s="5">
        <v>4990000</v>
      </c>
      <c r="D47" s="5">
        <v>3000000</v>
      </c>
      <c r="E47" s="4">
        <v>9500</v>
      </c>
      <c r="F47" s="4">
        <v>219</v>
      </c>
      <c r="G47" s="4">
        <v>10</v>
      </c>
      <c r="H47" s="4">
        <v>744</v>
      </c>
      <c r="I47" s="4">
        <v>110</v>
      </c>
      <c r="J47" s="6">
        <f>CompanyData[[#This Row],[Revenue]] - CompanyData[[#This Row],[Operating Expense]]</f>
        <v>1990000</v>
      </c>
      <c r="K47" s="7">
        <f>(CompanyData[[#This Row],[Gross Profit]] / CompanyData[[#This Row],[Revenue]] )</f>
        <v>0.39879759519038077</v>
      </c>
      <c r="L47" s="7">
        <f>(CompanyData[[#This Row],[Defective Units]]/CompanyData[[#This Row],[Production Volume]])</f>
        <v>2.305263157894737E-2</v>
      </c>
      <c r="M47" s="7">
        <f>(CompanyData[[#This Row],[Return Units]]/CompanyData[[#This Row],[Production Volume]])</f>
        <v>1.1578947368421053E-2</v>
      </c>
      <c r="N47" s="7">
        <f>(CompanyData[[#This Row],[Downtime (hrs)]]/CompanyData[[#This Row],[Available Prod Hours]])</f>
        <v>1.3440860215053764E-2</v>
      </c>
      <c r="O47" s="8">
        <v>0.96399999999999997</v>
      </c>
      <c r="P47" s="8">
        <v>9</v>
      </c>
      <c r="Q47" s="8">
        <v>3</v>
      </c>
      <c r="R47" s="10">
        <v>0.89709090909090905</v>
      </c>
      <c r="S47" s="10">
        <v>0.846844988344988</v>
      </c>
      <c r="T47" s="10">
        <v>0.86685198135198105</v>
      </c>
      <c r="U47"/>
      <c r="V47"/>
      <c r="W47"/>
      <c r="X47"/>
    </row>
    <row r="48" spans="1:24" x14ac:dyDescent="0.25">
      <c r="A48" s="4">
        <v>2023</v>
      </c>
      <c r="B48" s="4" t="s">
        <v>16</v>
      </c>
      <c r="C48" s="5">
        <v>5450000</v>
      </c>
      <c r="D48" s="5">
        <v>3100000</v>
      </c>
      <c r="E48" s="4">
        <v>10720</v>
      </c>
      <c r="F48" s="4">
        <v>214</v>
      </c>
      <c r="G48" s="4">
        <v>6</v>
      </c>
      <c r="H48" s="4">
        <v>744</v>
      </c>
      <c r="I48" s="4">
        <v>112</v>
      </c>
      <c r="J48" s="6">
        <f>CompanyData[[#This Row],[Revenue]] - CompanyData[[#This Row],[Operating Expense]]</f>
        <v>2350000</v>
      </c>
      <c r="K48" s="7">
        <f>(CompanyData[[#This Row],[Gross Profit]] / CompanyData[[#This Row],[Revenue]] )</f>
        <v>0.43119266055045874</v>
      </c>
      <c r="L48" s="7">
        <f>(CompanyData[[#This Row],[Defective Units]]/CompanyData[[#This Row],[Production Volume]])</f>
        <v>1.9962686567164181E-2</v>
      </c>
      <c r="M48" s="7">
        <f>(CompanyData[[#This Row],[Return Units]]/CompanyData[[#This Row],[Production Volume]])</f>
        <v>1.0447761194029851E-2</v>
      </c>
      <c r="N48" s="7">
        <f>(CompanyData[[#This Row],[Downtime (hrs)]]/CompanyData[[#This Row],[Available Prod Hours]])</f>
        <v>8.0645161290322578E-3</v>
      </c>
      <c r="O48" s="8">
        <v>0.96899999999999997</v>
      </c>
      <c r="P48" s="8">
        <v>8</v>
      </c>
      <c r="Q48" s="8">
        <v>3</v>
      </c>
      <c r="R48" s="10">
        <v>0.89754545454545498</v>
      </c>
      <c r="S48" s="10">
        <v>0.84758275058275001</v>
      </c>
      <c r="T48" s="10">
        <v>0.86743240093240104</v>
      </c>
      <c r="U48"/>
      <c r="V48"/>
      <c r="W48"/>
      <c r="X48"/>
    </row>
    <row r="49" spans="1:24" x14ac:dyDescent="0.25">
      <c r="A49" s="4">
        <v>2023</v>
      </c>
      <c r="B49" s="4" t="s">
        <v>17</v>
      </c>
      <c r="C49" s="5">
        <v>5480000</v>
      </c>
      <c r="D49" s="5">
        <v>3010000</v>
      </c>
      <c r="E49" s="4">
        <v>9200</v>
      </c>
      <c r="F49" s="4">
        <v>221</v>
      </c>
      <c r="G49" s="4">
        <v>7</v>
      </c>
      <c r="H49" s="4">
        <v>720</v>
      </c>
      <c r="I49" s="4">
        <v>109</v>
      </c>
      <c r="J49" s="6">
        <f>CompanyData[[#This Row],[Revenue]] - CompanyData[[#This Row],[Operating Expense]]</f>
        <v>2470000</v>
      </c>
      <c r="K49" s="7">
        <f>(CompanyData[[#This Row],[Gross Profit]] / CompanyData[[#This Row],[Revenue]] )</f>
        <v>0.45072992700729925</v>
      </c>
      <c r="L49" s="7">
        <f>(CompanyData[[#This Row],[Defective Units]]/CompanyData[[#This Row],[Production Volume]])</f>
        <v>2.4021739130434781E-2</v>
      </c>
      <c r="M49" s="7">
        <f>(CompanyData[[#This Row],[Return Units]]/CompanyData[[#This Row],[Production Volume]])</f>
        <v>1.1847826086956522E-2</v>
      </c>
      <c r="N49" s="7">
        <f>(CompanyData[[#This Row],[Downtime (hrs)]]/CompanyData[[#This Row],[Available Prod Hours]])</f>
        <v>9.7222222222222224E-3</v>
      </c>
      <c r="O49" s="8">
        <v>0.97099999999999997</v>
      </c>
      <c r="P49" s="8">
        <v>7</v>
      </c>
      <c r="Q49" s="8">
        <v>3</v>
      </c>
      <c r="R49" s="10">
        <v>0.89800000000000002</v>
      </c>
      <c r="S49" s="10">
        <v>0.84832051282051291</v>
      </c>
      <c r="T49" s="10">
        <v>0.86801282051282003</v>
      </c>
      <c r="U49"/>
      <c r="V49"/>
      <c r="W49"/>
      <c r="X49"/>
    </row>
    <row r="50" spans="1:24" x14ac:dyDescent="0.25">
      <c r="A50" s="4">
        <v>2023</v>
      </c>
      <c r="B50" s="4" t="s">
        <v>18</v>
      </c>
      <c r="C50" s="5">
        <v>4810000</v>
      </c>
      <c r="D50" s="5">
        <v>3180000</v>
      </c>
      <c r="E50" s="4">
        <v>10100</v>
      </c>
      <c r="F50" s="4">
        <v>202</v>
      </c>
      <c r="G50" s="4">
        <v>6</v>
      </c>
      <c r="H50" s="4">
        <v>744</v>
      </c>
      <c r="I50" s="4">
        <v>107</v>
      </c>
      <c r="J50" s="6">
        <f>CompanyData[[#This Row],[Revenue]] - CompanyData[[#This Row],[Operating Expense]]</f>
        <v>1630000</v>
      </c>
      <c r="K50" s="7">
        <f>(CompanyData[[#This Row],[Gross Profit]] / CompanyData[[#This Row],[Revenue]] )</f>
        <v>0.3388773388773389</v>
      </c>
      <c r="L50" s="7">
        <f>(CompanyData[[#This Row],[Defective Units]]/CompanyData[[#This Row],[Production Volume]])</f>
        <v>0.02</v>
      </c>
      <c r="M50" s="7">
        <f>(CompanyData[[#This Row],[Return Units]]/CompanyData[[#This Row],[Production Volume]])</f>
        <v>1.0594059405940595E-2</v>
      </c>
      <c r="N50" s="7">
        <f>(CompanyData[[#This Row],[Downtime (hrs)]]/CompanyData[[#This Row],[Available Prod Hours]])</f>
        <v>8.0645161290322578E-3</v>
      </c>
      <c r="O50" s="8">
        <v>0.96499999999999997</v>
      </c>
      <c r="P50" s="8">
        <v>8</v>
      </c>
      <c r="Q50" s="8">
        <v>3</v>
      </c>
      <c r="R50" s="10">
        <v>0.89845454545454606</v>
      </c>
      <c r="S50" s="10">
        <v>0.84905827505827502</v>
      </c>
      <c r="T50" s="10">
        <v>0.86859324009324002</v>
      </c>
      <c r="U50"/>
      <c r="V50"/>
      <c r="W50"/>
      <c r="X50"/>
    </row>
    <row r="51" spans="1:24" x14ac:dyDescent="0.25">
      <c r="A51" s="4">
        <v>2023</v>
      </c>
      <c r="B51" s="4" t="s">
        <v>19</v>
      </c>
      <c r="C51" s="5">
        <v>5430000</v>
      </c>
      <c r="D51" s="5">
        <v>3130000</v>
      </c>
      <c r="E51" s="4">
        <v>10570</v>
      </c>
      <c r="F51" s="4">
        <v>254</v>
      </c>
      <c r="G51" s="4">
        <v>10</v>
      </c>
      <c r="H51" s="4">
        <v>720</v>
      </c>
      <c r="I51" s="4">
        <v>111</v>
      </c>
      <c r="J51" s="6">
        <f>CompanyData[[#This Row],[Revenue]] - CompanyData[[#This Row],[Operating Expense]]</f>
        <v>2300000</v>
      </c>
      <c r="K51" s="7">
        <f>(CompanyData[[#This Row],[Gross Profit]] / CompanyData[[#This Row],[Revenue]] )</f>
        <v>0.42357274401473294</v>
      </c>
      <c r="L51" s="7">
        <f>(CompanyData[[#This Row],[Defective Units]]/CompanyData[[#This Row],[Production Volume]])</f>
        <v>2.4030274361400188E-2</v>
      </c>
      <c r="M51" s="7">
        <f>(CompanyData[[#This Row],[Return Units]]/CompanyData[[#This Row],[Production Volume]])</f>
        <v>1.0501419110690633E-2</v>
      </c>
      <c r="N51" s="7">
        <f>(CompanyData[[#This Row],[Downtime (hrs)]]/CompanyData[[#This Row],[Available Prod Hours]])</f>
        <v>1.3888888888888888E-2</v>
      </c>
      <c r="O51" s="8">
        <v>0.97</v>
      </c>
      <c r="P51" s="8">
        <v>7</v>
      </c>
      <c r="Q51" s="8">
        <v>3</v>
      </c>
      <c r="R51" s="10">
        <v>0.8989090909090911</v>
      </c>
      <c r="S51" s="10">
        <v>0.84979603729603692</v>
      </c>
      <c r="T51" s="10">
        <v>0.86917365967366</v>
      </c>
      <c r="U51"/>
      <c r="V51"/>
      <c r="W51"/>
      <c r="X51"/>
    </row>
    <row r="52" spans="1:24" x14ac:dyDescent="0.25">
      <c r="A52" s="4">
        <v>2023</v>
      </c>
      <c r="B52" s="4" t="s">
        <v>20</v>
      </c>
      <c r="C52" s="5">
        <v>5060000</v>
      </c>
      <c r="D52" s="5">
        <v>3010000</v>
      </c>
      <c r="E52" s="4">
        <v>9610</v>
      </c>
      <c r="F52" s="4">
        <v>250</v>
      </c>
      <c r="G52" s="4">
        <v>7</v>
      </c>
      <c r="H52" s="4">
        <v>744</v>
      </c>
      <c r="I52" s="4">
        <v>110</v>
      </c>
      <c r="J52" s="6">
        <f>CompanyData[[#This Row],[Revenue]] - CompanyData[[#This Row],[Operating Expense]]</f>
        <v>2050000</v>
      </c>
      <c r="K52" s="7">
        <f>(CompanyData[[#This Row],[Gross Profit]] / CompanyData[[#This Row],[Revenue]] )</f>
        <v>0.40513833992094861</v>
      </c>
      <c r="L52" s="7">
        <f>(CompanyData[[#This Row],[Defective Units]]/CompanyData[[#This Row],[Production Volume]])</f>
        <v>2.6014568158168574E-2</v>
      </c>
      <c r="M52" s="7">
        <f>(CompanyData[[#This Row],[Return Units]]/CompanyData[[#This Row],[Production Volume]])</f>
        <v>1.1446409989594173E-2</v>
      </c>
      <c r="N52" s="7">
        <f>(CompanyData[[#This Row],[Downtime (hrs)]]/CompanyData[[#This Row],[Available Prod Hours]])</f>
        <v>9.4086021505376347E-3</v>
      </c>
      <c r="O52" s="8">
        <v>0.96599999999999997</v>
      </c>
      <c r="P52" s="8">
        <v>7</v>
      </c>
      <c r="Q52" s="8">
        <v>2.9</v>
      </c>
      <c r="R52" s="10">
        <v>0.89936363636363692</v>
      </c>
      <c r="S52" s="10">
        <v>0.85053379953379904</v>
      </c>
      <c r="T52" s="10">
        <v>0.86975407925407888</v>
      </c>
      <c r="U52"/>
      <c r="V52"/>
      <c r="W52"/>
      <c r="X52"/>
    </row>
    <row r="53" spans="1:24" x14ac:dyDescent="0.25">
      <c r="A53" s="4">
        <v>2024</v>
      </c>
      <c r="B53" s="4" t="s">
        <v>9</v>
      </c>
      <c r="C53" s="5">
        <v>4210000</v>
      </c>
      <c r="D53" s="5">
        <v>2850000</v>
      </c>
      <c r="E53" s="4">
        <v>9120</v>
      </c>
      <c r="F53" s="4">
        <v>281</v>
      </c>
      <c r="G53" s="4">
        <v>13</v>
      </c>
      <c r="H53" s="4">
        <v>744</v>
      </c>
      <c r="I53" s="4">
        <v>120</v>
      </c>
      <c r="J53" s="6">
        <f>CompanyData[[#This Row],[Revenue]] - CompanyData[[#This Row],[Operating Expense]]</f>
        <v>1360000</v>
      </c>
      <c r="K53" s="7">
        <f>(CompanyData[[#This Row],[Gross Profit]] / CompanyData[[#This Row],[Revenue]] )</f>
        <v>0.32304038004750596</v>
      </c>
      <c r="L53" s="7">
        <f>(CompanyData[[#This Row],[Defective Units]]/CompanyData[[#This Row],[Production Volume]])</f>
        <v>3.0811403508771928E-2</v>
      </c>
      <c r="M53" s="7">
        <f>(CompanyData[[#This Row],[Return Units]]/CompanyData[[#This Row],[Production Volume]])</f>
        <v>1.3157894736842105E-2</v>
      </c>
      <c r="N53" s="7">
        <f>(CompanyData[[#This Row],[Downtime (hrs)]]/CompanyData[[#This Row],[Available Prod Hours]])</f>
        <v>1.7473118279569891E-2</v>
      </c>
      <c r="O53" s="8">
        <v>0.95299999999999996</v>
      </c>
      <c r="P53" s="8">
        <v>7</v>
      </c>
      <c r="Q53" s="8">
        <v>3</v>
      </c>
      <c r="R53" s="10">
        <v>0.89981818181818196</v>
      </c>
      <c r="S53" s="10">
        <v>0.85127156177156194</v>
      </c>
      <c r="T53" s="10">
        <v>0.87033449883449909</v>
      </c>
      <c r="U53"/>
      <c r="V53"/>
      <c r="W53"/>
      <c r="X53"/>
    </row>
    <row r="54" spans="1:24" x14ac:dyDescent="0.25">
      <c r="A54" s="4">
        <v>2024</v>
      </c>
      <c r="B54" s="4" t="s">
        <v>10</v>
      </c>
      <c r="C54" s="5">
        <v>4390000</v>
      </c>
      <c r="D54" s="5">
        <v>2720000</v>
      </c>
      <c r="E54" s="4">
        <v>8950</v>
      </c>
      <c r="F54" s="4">
        <v>259</v>
      </c>
      <c r="G54" s="4">
        <v>12</v>
      </c>
      <c r="H54" s="4">
        <v>672</v>
      </c>
      <c r="I54" s="4">
        <v>115</v>
      </c>
      <c r="J54" s="6">
        <f>CompanyData[[#This Row],[Revenue]] - CompanyData[[#This Row],[Operating Expense]]</f>
        <v>1670000</v>
      </c>
      <c r="K54" s="7">
        <f>(CompanyData[[#This Row],[Gross Profit]] / CompanyData[[#This Row],[Revenue]] )</f>
        <v>0.38041002277904329</v>
      </c>
      <c r="L54" s="7">
        <f>(CompanyData[[#This Row],[Defective Units]]/CompanyData[[#This Row],[Production Volume]])</f>
        <v>2.8938547486033521E-2</v>
      </c>
      <c r="M54" s="7">
        <f>(CompanyData[[#This Row],[Return Units]]/CompanyData[[#This Row],[Production Volume]])</f>
        <v>1.2849162011173185E-2</v>
      </c>
      <c r="N54" s="7">
        <f>(CompanyData[[#This Row],[Downtime (hrs)]]/CompanyData[[#This Row],[Available Prod Hours]])</f>
        <v>1.7857142857142856E-2</v>
      </c>
      <c r="O54" s="8">
        <v>0.95599999999999996</v>
      </c>
      <c r="P54" s="8">
        <v>6</v>
      </c>
      <c r="Q54" s="8">
        <v>2.9</v>
      </c>
      <c r="R54" s="10">
        <v>0.900272727272727</v>
      </c>
      <c r="S54" s="10">
        <v>0.85200932400932405</v>
      </c>
      <c r="T54" s="10">
        <v>0.87091491841491797</v>
      </c>
      <c r="U54"/>
      <c r="V54"/>
      <c r="W54"/>
      <c r="X54"/>
    </row>
    <row r="55" spans="1:24" x14ac:dyDescent="0.25">
      <c r="A55" s="4">
        <v>2024</v>
      </c>
      <c r="B55" s="4" t="s">
        <v>11</v>
      </c>
      <c r="C55" s="5">
        <v>4530000</v>
      </c>
      <c r="D55" s="5">
        <v>2800000</v>
      </c>
      <c r="E55" s="4">
        <v>9250</v>
      </c>
      <c r="F55" s="4">
        <v>271</v>
      </c>
      <c r="G55" s="4">
        <v>11</v>
      </c>
      <c r="H55" s="4">
        <v>744</v>
      </c>
      <c r="I55" s="4">
        <v>110</v>
      </c>
      <c r="J55" s="6">
        <f>CompanyData[[#This Row],[Revenue]] - CompanyData[[#This Row],[Operating Expense]]</f>
        <v>1730000</v>
      </c>
      <c r="K55" s="7">
        <f>(CompanyData[[#This Row],[Gross Profit]] / CompanyData[[#This Row],[Revenue]] )</f>
        <v>0.38189845474613687</v>
      </c>
      <c r="L55" s="7">
        <f>(CompanyData[[#This Row],[Defective Units]]/CompanyData[[#This Row],[Production Volume]])</f>
        <v>2.9297297297297298E-2</v>
      </c>
      <c r="M55" s="7">
        <f>(CompanyData[[#This Row],[Return Units]]/CompanyData[[#This Row],[Production Volume]])</f>
        <v>1.1891891891891892E-2</v>
      </c>
      <c r="N55" s="7">
        <f>(CompanyData[[#This Row],[Downtime (hrs)]]/CompanyData[[#This Row],[Available Prod Hours]])</f>
        <v>1.4784946236559141E-2</v>
      </c>
      <c r="O55" s="8">
        <v>0.95899999999999996</v>
      </c>
      <c r="P55" s="8">
        <v>6</v>
      </c>
      <c r="Q55" s="8">
        <v>2.9</v>
      </c>
      <c r="R55" s="10">
        <v>0.90072727272727304</v>
      </c>
      <c r="S55" s="10">
        <v>0.85274708624708595</v>
      </c>
      <c r="T55" s="10">
        <v>0.87149533799533796</v>
      </c>
      <c r="U55"/>
      <c r="V55"/>
      <c r="W55"/>
      <c r="X55"/>
    </row>
    <row r="56" spans="1:24" x14ac:dyDescent="0.25">
      <c r="A56" s="4">
        <v>2024</v>
      </c>
      <c r="B56" s="4" t="s">
        <v>12</v>
      </c>
      <c r="C56" s="5">
        <v>4440000</v>
      </c>
      <c r="D56" s="5">
        <v>2800000</v>
      </c>
      <c r="E56" s="4">
        <v>8890</v>
      </c>
      <c r="F56" s="4">
        <v>245</v>
      </c>
      <c r="G56" s="4">
        <v>12</v>
      </c>
      <c r="H56" s="4">
        <v>720</v>
      </c>
      <c r="I56" s="4">
        <v>118</v>
      </c>
      <c r="J56" s="6">
        <f>CompanyData[[#This Row],[Revenue]] - CompanyData[[#This Row],[Operating Expense]]</f>
        <v>1640000</v>
      </c>
      <c r="K56" s="7">
        <f>(CompanyData[[#This Row],[Gross Profit]] / CompanyData[[#This Row],[Revenue]] )</f>
        <v>0.36936936936936937</v>
      </c>
      <c r="L56" s="7">
        <f>(CompanyData[[#This Row],[Defective Units]]/CompanyData[[#This Row],[Production Volume]])</f>
        <v>2.7559055118110236E-2</v>
      </c>
      <c r="M56" s="7">
        <f>(CompanyData[[#This Row],[Return Units]]/CompanyData[[#This Row],[Production Volume]])</f>
        <v>1.3273340832395951E-2</v>
      </c>
      <c r="N56" s="7">
        <f>(CompanyData[[#This Row],[Downtime (hrs)]]/CompanyData[[#This Row],[Available Prod Hours]])</f>
        <v>1.6666666666666666E-2</v>
      </c>
      <c r="O56" s="8">
        <v>0.95399999999999996</v>
      </c>
      <c r="P56" s="8">
        <v>5</v>
      </c>
      <c r="Q56" s="8">
        <v>2.8</v>
      </c>
      <c r="R56" s="10">
        <v>0.90118181818181797</v>
      </c>
      <c r="S56" s="10">
        <v>0.85348484848484807</v>
      </c>
      <c r="T56" s="10">
        <v>0.87207575757575695</v>
      </c>
      <c r="U56"/>
      <c r="V56"/>
      <c r="W56"/>
      <c r="X56"/>
    </row>
    <row r="57" spans="1:24" x14ac:dyDescent="0.25">
      <c r="A57" s="4">
        <v>2024</v>
      </c>
      <c r="B57" s="4" t="s">
        <v>13</v>
      </c>
      <c r="C57" s="5">
        <v>4400000</v>
      </c>
      <c r="D57" s="5">
        <v>2740000</v>
      </c>
      <c r="E57" s="4">
        <v>9340</v>
      </c>
      <c r="F57" s="4">
        <v>239</v>
      </c>
      <c r="G57" s="4">
        <v>11</v>
      </c>
      <c r="H57" s="4">
        <v>744</v>
      </c>
      <c r="I57" s="4">
        <v>112</v>
      </c>
      <c r="J57" s="6">
        <f>CompanyData[[#This Row],[Revenue]] - CompanyData[[#This Row],[Operating Expense]]</f>
        <v>1660000</v>
      </c>
      <c r="K57" s="7">
        <f>(CompanyData[[#This Row],[Gross Profit]] / CompanyData[[#This Row],[Revenue]] )</f>
        <v>0.37727272727272726</v>
      </c>
      <c r="L57" s="7">
        <f>(CompanyData[[#This Row],[Defective Units]]/CompanyData[[#This Row],[Production Volume]])</f>
        <v>2.5588865096359742E-2</v>
      </c>
      <c r="M57" s="7">
        <f>(CompanyData[[#This Row],[Return Units]]/CompanyData[[#This Row],[Production Volume]])</f>
        <v>1.1991434689507495E-2</v>
      </c>
      <c r="N57" s="7">
        <f>(CompanyData[[#This Row],[Downtime (hrs)]]/CompanyData[[#This Row],[Available Prod Hours]])</f>
        <v>1.4784946236559141E-2</v>
      </c>
      <c r="O57" s="8">
        <v>0.95799999999999996</v>
      </c>
      <c r="P57" s="8">
        <v>5</v>
      </c>
      <c r="Q57" s="8">
        <v>2.8</v>
      </c>
      <c r="R57" s="10">
        <v>0.90163636363636401</v>
      </c>
      <c r="S57" s="10">
        <v>0.85422261072261096</v>
      </c>
      <c r="T57" s="10">
        <v>0.87265617715617694</v>
      </c>
      <c r="U57"/>
      <c r="V57"/>
      <c r="W57"/>
      <c r="X57"/>
    </row>
    <row r="58" spans="1:24" x14ac:dyDescent="0.25">
      <c r="A58" s="4">
        <v>2024</v>
      </c>
      <c r="B58" s="4" t="s">
        <v>14</v>
      </c>
      <c r="C58" s="5">
        <v>4680000</v>
      </c>
      <c r="D58" s="5">
        <v>2850000</v>
      </c>
      <c r="E58" s="4">
        <v>9510</v>
      </c>
      <c r="F58" s="4">
        <v>232</v>
      </c>
      <c r="G58" s="4">
        <v>10</v>
      </c>
      <c r="H58" s="4">
        <v>720</v>
      </c>
      <c r="I58" s="4">
        <v>110</v>
      </c>
      <c r="J58" s="6">
        <f>CompanyData[[#This Row],[Revenue]] - CompanyData[[#This Row],[Operating Expense]]</f>
        <v>1830000</v>
      </c>
      <c r="K58" s="7">
        <f>(CompanyData[[#This Row],[Gross Profit]] / CompanyData[[#This Row],[Revenue]] )</f>
        <v>0.39102564102564102</v>
      </c>
      <c r="L58" s="7">
        <f>(CompanyData[[#This Row],[Defective Units]]/CompanyData[[#This Row],[Production Volume]])</f>
        <v>2.4395373291272344E-2</v>
      </c>
      <c r="M58" s="7">
        <f>(CompanyData[[#This Row],[Return Units]]/CompanyData[[#This Row],[Production Volume]])</f>
        <v>1.1566771819137749E-2</v>
      </c>
      <c r="N58" s="7">
        <f>(CompanyData[[#This Row],[Downtime (hrs)]]/CompanyData[[#This Row],[Available Prod Hours]])</f>
        <v>1.3888888888888888E-2</v>
      </c>
      <c r="O58" s="8">
        <v>0.96</v>
      </c>
      <c r="P58" s="8">
        <v>5</v>
      </c>
      <c r="Q58" s="8">
        <v>2.8</v>
      </c>
      <c r="R58" s="10">
        <v>0.90209090909090905</v>
      </c>
      <c r="S58" s="10">
        <v>0.85496037296037297</v>
      </c>
      <c r="T58" s="10">
        <v>0.87323659673659604</v>
      </c>
      <c r="U58"/>
      <c r="V58"/>
      <c r="W58"/>
      <c r="X58"/>
    </row>
    <row r="59" spans="1:24" x14ac:dyDescent="0.25">
      <c r="A59" s="4">
        <v>2024</v>
      </c>
      <c r="B59" s="4" t="s">
        <v>15</v>
      </c>
      <c r="C59" s="5">
        <v>4590000</v>
      </c>
      <c r="D59" s="5">
        <v>2770000</v>
      </c>
      <c r="E59" s="4">
        <v>9650</v>
      </c>
      <c r="F59" s="4">
        <v>223</v>
      </c>
      <c r="G59" s="4">
        <v>9</v>
      </c>
      <c r="H59" s="4">
        <v>744</v>
      </c>
      <c r="I59" s="4">
        <v>109</v>
      </c>
      <c r="J59" s="6">
        <f>CompanyData[[#This Row],[Revenue]] - CompanyData[[#This Row],[Operating Expense]]</f>
        <v>1820000</v>
      </c>
      <c r="K59" s="7">
        <f>(CompanyData[[#This Row],[Gross Profit]] / CompanyData[[#This Row],[Revenue]] )</f>
        <v>0.39651416122004357</v>
      </c>
      <c r="L59" s="7">
        <f>(CompanyData[[#This Row],[Defective Units]]/CompanyData[[#This Row],[Production Volume]])</f>
        <v>2.3108808290155439E-2</v>
      </c>
      <c r="M59" s="7">
        <f>(CompanyData[[#This Row],[Return Units]]/CompanyData[[#This Row],[Production Volume]])</f>
        <v>1.1295336787564766E-2</v>
      </c>
      <c r="N59" s="7">
        <f>(CompanyData[[#This Row],[Downtime (hrs)]]/CompanyData[[#This Row],[Available Prod Hours]])</f>
        <v>1.2096774193548387E-2</v>
      </c>
      <c r="O59" s="8">
        <v>0.95699999999999996</v>
      </c>
      <c r="P59" s="8">
        <v>5</v>
      </c>
      <c r="Q59" s="8">
        <v>2.7</v>
      </c>
      <c r="R59" s="10">
        <v>0.90254545454545498</v>
      </c>
      <c r="S59" s="10">
        <v>0.85569813519813498</v>
      </c>
      <c r="T59" s="10">
        <v>0.87381701631701603</v>
      </c>
      <c r="U59"/>
      <c r="V59"/>
      <c r="W59"/>
      <c r="X59"/>
    </row>
    <row r="60" spans="1:24" x14ac:dyDescent="0.25">
      <c r="A60" s="4">
        <v>2024</v>
      </c>
      <c r="B60" s="4" t="s">
        <v>16</v>
      </c>
      <c r="C60" s="5">
        <v>4760000</v>
      </c>
      <c r="D60" s="5">
        <v>2900000</v>
      </c>
      <c r="E60" s="4">
        <v>9870</v>
      </c>
      <c r="F60" s="4">
        <v>232</v>
      </c>
      <c r="G60" s="4">
        <v>9</v>
      </c>
      <c r="H60" s="4">
        <v>744</v>
      </c>
      <c r="I60" s="4">
        <v>108</v>
      </c>
      <c r="J60" s="6">
        <f>CompanyData[[#This Row],[Revenue]] - CompanyData[[#This Row],[Operating Expense]]</f>
        <v>1860000</v>
      </c>
      <c r="K60" s="7">
        <f>(CompanyData[[#This Row],[Gross Profit]] / CompanyData[[#This Row],[Revenue]] )</f>
        <v>0.3907563025210084</v>
      </c>
      <c r="L60" s="7">
        <f>(CompanyData[[#This Row],[Defective Units]]/CompanyData[[#This Row],[Production Volume]])</f>
        <v>2.3505572441742655E-2</v>
      </c>
      <c r="M60" s="7">
        <f>(CompanyData[[#This Row],[Return Units]]/CompanyData[[#This Row],[Production Volume]])</f>
        <v>1.094224924012158E-2</v>
      </c>
      <c r="N60" s="7">
        <f>(CompanyData[[#This Row],[Downtime (hrs)]]/CompanyData[[#This Row],[Available Prod Hours]])</f>
        <v>1.2096774193548387E-2</v>
      </c>
      <c r="O60" s="8">
        <v>0.96099999999999997</v>
      </c>
      <c r="P60" s="8">
        <v>4</v>
      </c>
      <c r="Q60" s="8">
        <v>2.7</v>
      </c>
      <c r="R60" s="10">
        <v>0.90300000000000002</v>
      </c>
      <c r="S60" s="10">
        <v>0.85643589743589699</v>
      </c>
      <c r="T60" s="10">
        <v>0.87439743589743602</v>
      </c>
      <c r="U60"/>
      <c r="V60"/>
      <c r="W60"/>
      <c r="X60"/>
    </row>
    <row r="61" spans="1:24" x14ac:dyDescent="0.25">
      <c r="A61" s="4">
        <v>2024</v>
      </c>
      <c r="B61" s="4" t="s">
        <v>17</v>
      </c>
      <c r="C61" s="5">
        <v>4830000</v>
      </c>
      <c r="D61" s="5">
        <v>2910000</v>
      </c>
      <c r="E61" s="4">
        <v>9600</v>
      </c>
      <c r="F61" s="4">
        <v>218</v>
      </c>
      <c r="G61" s="4">
        <v>8</v>
      </c>
      <c r="H61" s="4">
        <v>720</v>
      </c>
      <c r="I61" s="4">
        <v>110</v>
      </c>
      <c r="J61" s="6">
        <f>CompanyData[[#This Row],[Revenue]] - CompanyData[[#This Row],[Operating Expense]]</f>
        <v>1920000</v>
      </c>
      <c r="K61" s="7">
        <f>(CompanyData[[#This Row],[Gross Profit]] / CompanyData[[#This Row],[Revenue]] )</f>
        <v>0.39751552795031053</v>
      </c>
      <c r="L61" s="7">
        <f>(CompanyData[[#This Row],[Defective Units]]/CompanyData[[#This Row],[Production Volume]])</f>
        <v>2.2708333333333334E-2</v>
      </c>
      <c r="M61" s="7">
        <f>(CompanyData[[#This Row],[Return Units]]/CompanyData[[#This Row],[Production Volume]])</f>
        <v>1.1458333333333333E-2</v>
      </c>
      <c r="N61" s="7">
        <f>(CompanyData[[#This Row],[Downtime (hrs)]]/CompanyData[[#This Row],[Available Prod Hours]])</f>
        <v>1.1111111111111112E-2</v>
      </c>
      <c r="O61" s="8">
        <v>0.96399999999999997</v>
      </c>
      <c r="P61" s="8">
        <v>4</v>
      </c>
      <c r="Q61" s="8">
        <v>2.7</v>
      </c>
      <c r="R61" s="10">
        <v>0.90345454545454595</v>
      </c>
      <c r="S61" s="10">
        <v>0.8571736596736601</v>
      </c>
      <c r="T61" s="10">
        <v>0.874977855477855</v>
      </c>
      <c r="U61"/>
      <c r="V61"/>
      <c r="W61"/>
      <c r="X61"/>
    </row>
    <row r="62" spans="1:24" x14ac:dyDescent="0.25">
      <c r="A62" s="4">
        <v>2024</v>
      </c>
      <c r="B62" s="4" t="s">
        <v>18</v>
      </c>
      <c r="C62" s="5">
        <v>4720000</v>
      </c>
      <c r="D62" s="5">
        <v>2920000</v>
      </c>
      <c r="E62" s="4">
        <v>9470</v>
      </c>
      <c r="F62" s="4">
        <v>213</v>
      </c>
      <c r="G62" s="4">
        <v>7</v>
      </c>
      <c r="H62" s="4">
        <v>744</v>
      </c>
      <c r="I62" s="4">
        <v>111</v>
      </c>
      <c r="J62" s="6">
        <f>CompanyData[[#This Row],[Revenue]] - CompanyData[[#This Row],[Operating Expense]]</f>
        <v>1800000</v>
      </c>
      <c r="K62" s="7">
        <f>(CompanyData[[#This Row],[Gross Profit]] / CompanyData[[#This Row],[Revenue]] )</f>
        <v>0.38135593220338981</v>
      </c>
      <c r="L62" s="7">
        <f>(CompanyData[[#This Row],[Defective Units]]/CompanyData[[#This Row],[Production Volume]])</f>
        <v>2.2492080253431891E-2</v>
      </c>
      <c r="M62" s="7">
        <f>(CompanyData[[#This Row],[Return Units]]/CompanyData[[#This Row],[Production Volume]])</f>
        <v>1.1721224920802534E-2</v>
      </c>
      <c r="N62" s="7">
        <f>(CompanyData[[#This Row],[Downtime (hrs)]]/CompanyData[[#This Row],[Available Prod Hours]])</f>
        <v>9.4086021505376347E-3</v>
      </c>
      <c r="O62" s="8">
        <v>0.96</v>
      </c>
      <c r="P62" s="8">
        <v>4</v>
      </c>
      <c r="Q62" s="8">
        <v>2.6</v>
      </c>
      <c r="R62" s="10">
        <v>0.903909090909091</v>
      </c>
      <c r="S62" s="10">
        <v>0.857911421911422</v>
      </c>
      <c r="T62" s="10">
        <v>0.87555827505827499</v>
      </c>
      <c r="U62"/>
      <c r="V62"/>
      <c r="W62"/>
      <c r="X62"/>
    </row>
    <row r="63" spans="1:24" x14ac:dyDescent="0.25">
      <c r="A63" s="4">
        <v>2024</v>
      </c>
      <c r="B63" s="4" t="s">
        <v>19</v>
      </c>
      <c r="C63" s="5">
        <v>4850000</v>
      </c>
      <c r="D63" s="5">
        <v>2930000</v>
      </c>
      <c r="E63" s="4">
        <v>9730</v>
      </c>
      <c r="F63" s="4">
        <v>226</v>
      </c>
      <c r="G63" s="4">
        <v>9</v>
      </c>
      <c r="H63" s="4">
        <v>720</v>
      </c>
      <c r="I63" s="4">
        <v>108</v>
      </c>
      <c r="J63" s="6">
        <f>CompanyData[[#This Row],[Revenue]] - CompanyData[[#This Row],[Operating Expense]]</f>
        <v>1920000</v>
      </c>
      <c r="K63" s="7">
        <f>(CompanyData[[#This Row],[Gross Profit]] / CompanyData[[#This Row],[Revenue]] )</f>
        <v>0.3958762886597938</v>
      </c>
      <c r="L63" s="7">
        <f>(CompanyData[[#This Row],[Defective Units]]/CompanyData[[#This Row],[Production Volume]])</f>
        <v>2.3227132579650565E-2</v>
      </c>
      <c r="M63" s="7">
        <f>(CompanyData[[#This Row],[Return Units]]/CompanyData[[#This Row],[Production Volume]])</f>
        <v>1.1099691675231244E-2</v>
      </c>
      <c r="N63" s="7">
        <f>(CompanyData[[#This Row],[Downtime (hrs)]]/CompanyData[[#This Row],[Available Prod Hours]])</f>
        <v>1.2500000000000001E-2</v>
      </c>
      <c r="O63" s="8">
        <v>0.96299999999999997</v>
      </c>
      <c r="P63" s="8">
        <v>4</v>
      </c>
      <c r="Q63" s="8">
        <v>2.6</v>
      </c>
      <c r="R63" s="10">
        <v>0.90436363636363692</v>
      </c>
      <c r="S63" s="10">
        <v>0.85864918414918412</v>
      </c>
      <c r="T63" s="10">
        <v>0.87613869463869409</v>
      </c>
      <c r="U63"/>
      <c r="V63"/>
      <c r="W63"/>
      <c r="X63"/>
    </row>
    <row r="64" spans="1:24" x14ac:dyDescent="0.25">
      <c r="A64" s="4">
        <v>2024</v>
      </c>
      <c r="B64" s="4" t="s">
        <v>20</v>
      </c>
      <c r="C64" s="5">
        <v>4790000</v>
      </c>
      <c r="D64" s="5">
        <v>2880000</v>
      </c>
      <c r="E64" s="4">
        <v>9900</v>
      </c>
      <c r="F64" s="4">
        <v>227</v>
      </c>
      <c r="G64" s="4">
        <v>8</v>
      </c>
      <c r="H64" s="4">
        <v>744</v>
      </c>
      <c r="I64" s="4">
        <v>109</v>
      </c>
      <c r="J64" s="6">
        <f>CompanyData[[#This Row],[Revenue]] - CompanyData[[#This Row],[Operating Expense]]</f>
        <v>1910000</v>
      </c>
      <c r="K64" s="7">
        <f>(CompanyData[[#This Row],[Gross Profit]] / CompanyData[[#This Row],[Revenue]] )</f>
        <v>0.39874739039665968</v>
      </c>
      <c r="L64" s="7">
        <f>(CompanyData[[#This Row],[Defective Units]]/CompanyData[[#This Row],[Production Volume]])</f>
        <v>2.2929292929292928E-2</v>
      </c>
      <c r="M64" s="7">
        <f>(CompanyData[[#This Row],[Return Units]]/CompanyData[[#This Row],[Production Volume]])</f>
        <v>1.101010101010101E-2</v>
      </c>
      <c r="N64" s="7">
        <f>(CompanyData[[#This Row],[Downtime (hrs)]]/CompanyData[[#This Row],[Available Prod Hours]])</f>
        <v>1.0752688172043012E-2</v>
      </c>
      <c r="O64" s="8">
        <v>0.96199999999999997</v>
      </c>
      <c r="P64" s="8">
        <v>3</v>
      </c>
      <c r="Q64" s="8">
        <v>2.6</v>
      </c>
      <c r="R64" s="10">
        <v>0.90481818181818296</v>
      </c>
      <c r="S64" s="10">
        <v>0.85938694638694602</v>
      </c>
      <c r="T64" s="10">
        <v>0.87671911421911308</v>
      </c>
      <c r="U64"/>
      <c r="V64"/>
      <c r="W64"/>
      <c r="X64"/>
    </row>
  </sheetData>
  <mergeCells count="1">
    <mergeCell ref="A1:E1"/>
  </mergeCells>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62"/>
  <sheetViews>
    <sheetView showGridLines="0" zoomScale="90" zoomScaleNormal="90" workbookViewId="0">
      <selection sqref="A1:E1"/>
    </sheetView>
  </sheetViews>
  <sheetFormatPr defaultRowHeight="15" x14ac:dyDescent="0.25"/>
  <cols>
    <col min="1" max="1" width="13.28515625" style="2" bestFit="1" customWidth="1"/>
    <col min="2" max="2" width="30.7109375" style="2" customWidth="1"/>
    <col min="3" max="3" width="25.28515625" style="2" customWidth="1"/>
    <col min="4" max="4" width="12.85546875" style="2" bestFit="1" customWidth="1"/>
    <col min="5" max="5" width="13.28515625" style="2" bestFit="1" customWidth="1"/>
    <col min="6" max="6" width="27.140625" style="2" customWidth="1"/>
    <col min="7" max="7" width="21.85546875" style="2" customWidth="1"/>
    <col min="8" max="8" width="13.28515625" style="2" bestFit="1" customWidth="1"/>
    <col min="9" max="9" width="25.140625" style="2" customWidth="1"/>
    <col min="10" max="10" width="9.140625" style="2"/>
    <col min="11" max="11" width="13.28515625" style="2" bestFit="1" customWidth="1"/>
    <col min="12" max="12" width="21.85546875" style="2" customWidth="1"/>
    <col min="13" max="13" width="9.140625" style="2"/>
    <col min="14" max="14" width="13.28515625" style="2" bestFit="1" customWidth="1"/>
    <col min="15" max="15" width="27.140625" style="2" customWidth="1"/>
    <col min="16" max="16" width="19" style="2" customWidth="1"/>
    <col min="17" max="17" width="13.28515625" style="2" customWidth="1"/>
    <col min="18" max="18" width="30.7109375" style="2" customWidth="1"/>
    <col min="19" max="19" width="9.140625" style="2"/>
    <col min="20" max="20" width="38.140625" style="2" customWidth="1"/>
    <col min="21" max="21" width="16.28515625" style="2" bestFit="1" customWidth="1"/>
    <col min="22" max="22" width="13.28515625" style="2" customWidth="1"/>
    <col min="23" max="26" width="12" style="2" customWidth="1"/>
    <col min="27" max="32" width="6" style="2" customWidth="1"/>
    <col min="33" max="86" width="12" style="2" bestFit="1" customWidth="1"/>
    <col min="87" max="16384" width="9.140625" style="2"/>
  </cols>
  <sheetData>
    <row r="1" spans="1:22" s="11" customFormat="1" ht="21" x14ac:dyDescent="0.35">
      <c r="A1" s="18"/>
      <c r="B1" s="18"/>
      <c r="C1" s="18"/>
      <c r="D1" s="18"/>
      <c r="E1" s="18"/>
    </row>
    <row r="2" spans="1:22" s="11" customFormat="1" x14ac:dyDescent="0.25"/>
    <row r="3" spans="1:22" s="11" customFormat="1" x14ac:dyDescent="0.25"/>
    <row r="4" spans="1:22" x14ac:dyDescent="0.25">
      <c r="A4" s="13" t="s">
        <v>26</v>
      </c>
      <c r="B4" s="13" t="s">
        <v>28</v>
      </c>
      <c r="C4" s="13" t="s">
        <v>49</v>
      </c>
      <c r="E4" s="13" t="s">
        <v>26</v>
      </c>
      <c r="F4" s="13" t="s">
        <v>29</v>
      </c>
      <c r="H4" s="13" t="s">
        <v>26</v>
      </c>
      <c r="I4" s="13" t="s">
        <v>30</v>
      </c>
      <c r="K4" s="13" t="s">
        <v>26</v>
      </c>
      <c r="L4" s="13" t="s">
        <v>31</v>
      </c>
      <c r="N4" s="13" t="s">
        <v>26</v>
      </c>
      <c r="O4" s="13" t="s">
        <v>35</v>
      </c>
      <c r="P4" s="13" t="s">
        <v>37</v>
      </c>
      <c r="Q4" s="13" t="s">
        <v>26</v>
      </c>
      <c r="R4" s="13" t="s">
        <v>36</v>
      </c>
      <c r="T4" s="13"/>
      <c r="U4" s="13" t="s">
        <v>46</v>
      </c>
      <c r="V4" s="13"/>
    </row>
    <row r="5" spans="1:22" x14ac:dyDescent="0.25">
      <c r="A5" s="15">
        <v>2023</v>
      </c>
      <c r="B5" s="16">
        <v>62300000</v>
      </c>
      <c r="C5" s="16">
        <v>36720000</v>
      </c>
      <c r="E5" s="15">
        <v>2023</v>
      </c>
      <c r="F5" s="16">
        <v>0.40937722830651757</v>
      </c>
      <c r="H5" s="15">
        <v>2023</v>
      </c>
      <c r="I5" s="16">
        <v>121720</v>
      </c>
      <c r="K5" s="15">
        <v>2023</v>
      </c>
      <c r="L5" s="16">
        <v>88</v>
      </c>
      <c r="N5" s="15">
        <v>2023</v>
      </c>
      <c r="O5" s="16">
        <v>11.618</v>
      </c>
      <c r="P5" s="16">
        <v>1359</v>
      </c>
      <c r="Q5" s="15">
        <v>2023</v>
      </c>
      <c r="R5" s="16">
        <v>0.96816666666666673</v>
      </c>
      <c r="T5" s="13" t="s">
        <v>47</v>
      </c>
      <c r="U5" s="13">
        <v>2023</v>
      </c>
      <c r="V5" s="13" t="s">
        <v>27</v>
      </c>
    </row>
    <row r="6" spans="1:22" x14ac:dyDescent="0.25">
      <c r="A6" s="17" t="s">
        <v>9</v>
      </c>
      <c r="B6" s="16">
        <v>5340000</v>
      </c>
      <c r="C6" s="16">
        <v>3150000</v>
      </c>
      <c r="E6" s="17" t="s">
        <v>9</v>
      </c>
      <c r="F6" s="16">
        <v>0.4101123595505618</v>
      </c>
      <c r="H6" s="17" t="s">
        <v>9</v>
      </c>
      <c r="I6" s="16">
        <v>9820</v>
      </c>
      <c r="K6" s="17" t="s">
        <v>9</v>
      </c>
      <c r="L6" s="16">
        <v>5</v>
      </c>
      <c r="N6" s="17" t="s">
        <v>9</v>
      </c>
      <c r="O6" s="16">
        <v>0.96799999999999997</v>
      </c>
      <c r="P6" s="16">
        <v>120</v>
      </c>
      <c r="Q6" s="17" t="s">
        <v>9</v>
      </c>
      <c r="R6" s="16">
        <v>0.96799999999999997</v>
      </c>
      <c r="T6" s="15" t="s">
        <v>36</v>
      </c>
      <c r="U6" s="16">
        <v>0.96816666666666673</v>
      </c>
      <c r="V6" s="16">
        <v>0.96816666666666673</v>
      </c>
    </row>
    <row r="7" spans="1:22" x14ac:dyDescent="0.25">
      <c r="A7" s="17" t="s">
        <v>10</v>
      </c>
      <c r="B7" s="16">
        <v>5280000</v>
      </c>
      <c r="C7" s="16">
        <v>2950000</v>
      </c>
      <c r="E7" s="17" t="s">
        <v>10</v>
      </c>
      <c r="F7" s="16">
        <v>0.44128787878787878</v>
      </c>
      <c r="H7" s="17" t="s">
        <v>10</v>
      </c>
      <c r="I7" s="16">
        <v>10430</v>
      </c>
      <c r="K7" s="17" t="s">
        <v>10</v>
      </c>
      <c r="L7" s="16">
        <v>8</v>
      </c>
      <c r="N7" s="17" t="s">
        <v>10</v>
      </c>
      <c r="O7" s="16">
        <v>0.97</v>
      </c>
      <c r="P7" s="16">
        <v>115</v>
      </c>
      <c r="Q7" s="17" t="s">
        <v>10</v>
      </c>
      <c r="R7" s="16">
        <v>0.97</v>
      </c>
      <c r="T7" s="15" t="s">
        <v>43</v>
      </c>
      <c r="U7" s="16">
        <v>0.89686363636363664</v>
      </c>
      <c r="V7" s="16">
        <v>0.89686363636363664</v>
      </c>
    </row>
    <row r="8" spans="1:22" x14ac:dyDescent="0.25">
      <c r="A8" s="17" t="s">
        <v>11</v>
      </c>
      <c r="B8" s="16">
        <v>4980000</v>
      </c>
      <c r="C8" s="16">
        <v>3000000</v>
      </c>
      <c r="E8" s="17" t="s">
        <v>11</v>
      </c>
      <c r="F8" s="16">
        <v>0.39759036144578314</v>
      </c>
      <c r="H8" s="17" t="s">
        <v>11</v>
      </c>
      <c r="I8" s="16">
        <v>10480</v>
      </c>
      <c r="K8" s="17" t="s">
        <v>11</v>
      </c>
      <c r="L8" s="16">
        <v>7</v>
      </c>
      <c r="N8" s="17" t="s">
        <v>11</v>
      </c>
      <c r="O8" s="16">
        <v>0.97099999999999997</v>
      </c>
      <c r="P8" s="16">
        <v>110</v>
      </c>
      <c r="Q8" s="17" t="s">
        <v>11</v>
      </c>
      <c r="R8" s="16">
        <v>0.97099999999999997</v>
      </c>
      <c r="T8" s="15" t="s">
        <v>44</v>
      </c>
      <c r="U8" s="16">
        <v>0.846476107226107</v>
      </c>
      <c r="V8" s="16">
        <v>0.846476107226107</v>
      </c>
    </row>
    <row r="9" spans="1:22" x14ac:dyDescent="0.25">
      <c r="A9" s="17" t="s">
        <v>12</v>
      </c>
      <c r="B9" s="16">
        <v>5130000</v>
      </c>
      <c r="C9" s="16">
        <v>3070000</v>
      </c>
      <c r="E9" s="17" t="s">
        <v>12</v>
      </c>
      <c r="F9" s="16">
        <v>0.40155945419103312</v>
      </c>
      <c r="H9" s="17" t="s">
        <v>12</v>
      </c>
      <c r="I9" s="16">
        <v>10940</v>
      </c>
      <c r="K9" s="17" t="s">
        <v>12</v>
      </c>
      <c r="L9" s="16">
        <v>8</v>
      </c>
      <c r="N9" s="17" t="s">
        <v>12</v>
      </c>
      <c r="O9" s="16">
        <v>0.96699999999999997</v>
      </c>
      <c r="P9" s="16">
        <v>118</v>
      </c>
      <c r="Q9" s="17" t="s">
        <v>12</v>
      </c>
      <c r="R9" s="16">
        <v>0.96699999999999997</v>
      </c>
      <c r="T9" s="15" t="s">
        <v>45</v>
      </c>
      <c r="U9" s="16">
        <v>0.86656177156177161</v>
      </c>
      <c r="V9" s="16">
        <v>0.86656177156177161</v>
      </c>
    </row>
    <row r="10" spans="1:22" x14ac:dyDescent="0.25">
      <c r="A10" s="17" t="s">
        <v>13</v>
      </c>
      <c r="B10" s="16">
        <v>4980000</v>
      </c>
      <c r="C10" s="16">
        <v>3200000</v>
      </c>
      <c r="E10" s="17" t="s">
        <v>13</v>
      </c>
      <c r="F10" s="16">
        <v>0.35742971887550201</v>
      </c>
      <c r="H10" s="17" t="s">
        <v>13</v>
      </c>
      <c r="I10" s="16">
        <v>9520</v>
      </c>
      <c r="K10" s="17" t="s">
        <v>13</v>
      </c>
      <c r="L10" s="16">
        <v>9</v>
      </c>
      <c r="N10" s="17" t="s">
        <v>13</v>
      </c>
      <c r="O10" s="16">
        <v>0.96499999999999997</v>
      </c>
      <c r="P10" s="16">
        <v>112</v>
      </c>
      <c r="Q10" s="17" t="s">
        <v>13</v>
      </c>
      <c r="R10" s="16">
        <v>0.96499999999999997</v>
      </c>
    </row>
    <row r="11" spans="1:22" x14ac:dyDescent="0.25">
      <c r="A11" s="17" t="s">
        <v>14</v>
      </c>
      <c r="B11" s="16">
        <v>5370000</v>
      </c>
      <c r="C11" s="16">
        <v>2920000</v>
      </c>
      <c r="E11" s="17" t="s">
        <v>14</v>
      </c>
      <c r="F11" s="16">
        <v>0.45623836126629425</v>
      </c>
      <c r="H11" s="17" t="s">
        <v>14</v>
      </c>
      <c r="I11" s="16">
        <v>10830</v>
      </c>
      <c r="K11" s="17" t="s">
        <v>14</v>
      </c>
      <c r="L11" s="16">
        <v>5</v>
      </c>
      <c r="N11" s="17" t="s">
        <v>14</v>
      </c>
      <c r="O11" s="16">
        <v>0.97199999999999998</v>
      </c>
      <c r="P11" s="16">
        <v>125</v>
      </c>
      <c r="Q11" s="17" t="s">
        <v>14</v>
      </c>
      <c r="R11" s="16">
        <v>0.97199999999999998</v>
      </c>
    </row>
    <row r="12" spans="1:22" x14ac:dyDescent="0.25">
      <c r="A12" s="17" t="s">
        <v>15</v>
      </c>
      <c r="B12" s="16">
        <v>4990000</v>
      </c>
      <c r="C12" s="16">
        <v>3000000</v>
      </c>
      <c r="E12" s="17" t="s">
        <v>15</v>
      </c>
      <c r="F12" s="16">
        <v>0.39879759519038077</v>
      </c>
      <c r="H12" s="17" t="s">
        <v>15</v>
      </c>
      <c r="I12" s="16">
        <v>9500</v>
      </c>
      <c r="K12" s="17" t="s">
        <v>15</v>
      </c>
      <c r="L12" s="16">
        <v>10</v>
      </c>
      <c r="N12" s="17" t="s">
        <v>15</v>
      </c>
      <c r="O12" s="16">
        <v>0.96399999999999997</v>
      </c>
      <c r="P12" s="16">
        <v>110</v>
      </c>
      <c r="Q12" s="17" t="s">
        <v>15</v>
      </c>
      <c r="R12" s="16">
        <v>0.96399999999999997</v>
      </c>
    </row>
    <row r="13" spans="1:22" x14ac:dyDescent="0.25">
      <c r="A13" s="17" t="s">
        <v>16</v>
      </c>
      <c r="B13" s="16">
        <v>5450000</v>
      </c>
      <c r="C13" s="16">
        <v>3100000</v>
      </c>
      <c r="E13" s="17" t="s">
        <v>16</v>
      </c>
      <c r="F13" s="16">
        <v>0.43119266055045874</v>
      </c>
      <c r="H13" s="17" t="s">
        <v>16</v>
      </c>
      <c r="I13" s="16">
        <v>10720</v>
      </c>
      <c r="K13" s="17" t="s">
        <v>16</v>
      </c>
      <c r="L13" s="16">
        <v>6</v>
      </c>
      <c r="N13" s="17" t="s">
        <v>16</v>
      </c>
      <c r="O13" s="16">
        <v>0.96899999999999997</v>
      </c>
      <c r="P13" s="16">
        <v>112</v>
      </c>
      <c r="Q13" s="17" t="s">
        <v>16</v>
      </c>
      <c r="R13" s="16">
        <v>0.96899999999999997</v>
      </c>
    </row>
    <row r="14" spans="1:22" x14ac:dyDescent="0.25">
      <c r="A14" s="17" t="s">
        <v>17</v>
      </c>
      <c r="B14" s="16">
        <v>5480000</v>
      </c>
      <c r="C14" s="16">
        <v>3010000</v>
      </c>
      <c r="E14" s="17" t="s">
        <v>17</v>
      </c>
      <c r="F14" s="16">
        <v>0.45072992700729925</v>
      </c>
      <c r="H14" s="17" t="s">
        <v>17</v>
      </c>
      <c r="I14" s="16">
        <v>9200</v>
      </c>
      <c r="K14" s="17" t="s">
        <v>17</v>
      </c>
      <c r="L14" s="16">
        <v>7</v>
      </c>
      <c r="N14" s="17" t="s">
        <v>17</v>
      </c>
      <c r="O14" s="16">
        <v>0.97099999999999997</v>
      </c>
      <c r="P14" s="16">
        <v>109</v>
      </c>
      <c r="Q14" s="17" t="s">
        <v>17</v>
      </c>
      <c r="R14" s="16">
        <v>0.97099999999999997</v>
      </c>
    </row>
    <row r="15" spans="1:22" x14ac:dyDescent="0.25">
      <c r="A15" s="17" t="s">
        <v>18</v>
      </c>
      <c r="B15" s="16">
        <v>4810000</v>
      </c>
      <c r="C15" s="16">
        <v>3180000</v>
      </c>
      <c r="E15" s="17" t="s">
        <v>18</v>
      </c>
      <c r="F15" s="16">
        <v>0.3388773388773389</v>
      </c>
      <c r="H15" s="17" t="s">
        <v>18</v>
      </c>
      <c r="I15" s="16">
        <v>10100</v>
      </c>
      <c r="K15" s="17" t="s">
        <v>18</v>
      </c>
      <c r="L15" s="16">
        <v>6</v>
      </c>
      <c r="N15" s="17" t="s">
        <v>18</v>
      </c>
      <c r="O15" s="16">
        <v>0.96499999999999997</v>
      </c>
      <c r="P15" s="16">
        <v>107</v>
      </c>
      <c r="Q15" s="17" t="s">
        <v>18</v>
      </c>
      <c r="R15" s="16">
        <v>0.96499999999999997</v>
      </c>
    </row>
    <row r="16" spans="1:22" x14ac:dyDescent="0.25">
      <c r="A16" s="17" t="s">
        <v>19</v>
      </c>
      <c r="B16" s="16">
        <v>5430000</v>
      </c>
      <c r="C16" s="16">
        <v>3130000</v>
      </c>
      <c r="E16" s="17" t="s">
        <v>19</v>
      </c>
      <c r="F16" s="16">
        <v>0.42357274401473294</v>
      </c>
      <c r="H16" s="17" t="s">
        <v>19</v>
      </c>
      <c r="I16" s="16">
        <v>10570</v>
      </c>
      <c r="K16" s="17" t="s">
        <v>19</v>
      </c>
      <c r="L16" s="16">
        <v>10</v>
      </c>
      <c r="N16" s="17" t="s">
        <v>19</v>
      </c>
      <c r="O16" s="16">
        <v>0.97</v>
      </c>
      <c r="P16" s="16">
        <v>111</v>
      </c>
      <c r="Q16" s="17" t="s">
        <v>19</v>
      </c>
      <c r="R16" s="16">
        <v>0.97</v>
      </c>
    </row>
    <row r="17" spans="1:18" x14ac:dyDescent="0.25">
      <c r="A17" s="17" t="s">
        <v>20</v>
      </c>
      <c r="B17" s="16">
        <v>5060000</v>
      </c>
      <c r="C17" s="16">
        <v>3010000</v>
      </c>
      <c r="E17" s="17" t="s">
        <v>20</v>
      </c>
      <c r="F17" s="16">
        <v>0.40513833992094861</v>
      </c>
      <c r="H17" s="17" t="s">
        <v>20</v>
      </c>
      <c r="I17" s="16">
        <v>9610</v>
      </c>
      <c r="K17" s="17" t="s">
        <v>20</v>
      </c>
      <c r="L17" s="16">
        <v>7</v>
      </c>
      <c r="N17" s="17" t="s">
        <v>20</v>
      </c>
      <c r="O17" s="16">
        <v>0.96599999999999997</v>
      </c>
      <c r="P17" s="16">
        <v>110</v>
      </c>
      <c r="Q17" s="17" t="s">
        <v>20</v>
      </c>
      <c r="R17" s="16">
        <v>0.96599999999999997</v>
      </c>
    </row>
    <row r="18" spans="1:18" x14ac:dyDescent="0.25">
      <c r="A18" s="15" t="s">
        <v>27</v>
      </c>
      <c r="B18" s="16">
        <v>62300000</v>
      </c>
      <c r="C18" s="16">
        <v>36720000</v>
      </c>
      <c r="E18" s="15" t="s">
        <v>27</v>
      </c>
      <c r="F18" s="16">
        <v>0.40937722830651757</v>
      </c>
      <c r="H18" s="15" t="s">
        <v>27</v>
      </c>
      <c r="I18" s="16">
        <v>121720</v>
      </c>
      <c r="K18" s="15" t="s">
        <v>27</v>
      </c>
      <c r="L18" s="16">
        <v>88</v>
      </c>
      <c r="N18" s="15" t="s">
        <v>27</v>
      </c>
      <c r="O18" s="16">
        <v>11.618</v>
      </c>
      <c r="P18" s="16">
        <v>1359</v>
      </c>
      <c r="Q18" s="15" t="s">
        <v>27</v>
      </c>
      <c r="R18" s="16">
        <v>0.96816666666666673</v>
      </c>
    </row>
    <row r="48" spans="1:7" x14ac:dyDescent="0.25">
      <c r="A48" s="13" t="s">
        <v>26</v>
      </c>
      <c r="B48" s="13" t="s">
        <v>36</v>
      </c>
      <c r="C48" s="13" t="s">
        <v>48</v>
      </c>
      <c r="E48" s="13" t="s">
        <v>26</v>
      </c>
      <c r="F48" s="13" t="s">
        <v>35</v>
      </c>
      <c r="G48" s="13" t="s">
        <v>32</v>
      </c>
    </row>
    <row r="49" spans="1:7" x14ac:dyDescent="0.25">
      <c r="A49" s="15">
        <v>2023</v>
      </c>
      <c r="B49" s="16">
        <v>0.96816666666666673</v>
      </c>
      <c r="C49" s="16">
        <v>1.1187606444639113E-2</v>
      </c>
      <c r="E49" s="15">
        <v>2023</v>
      </c>
      <c r="F49" s="16">
        <v>11.618</v>
      </c>
      <c r="G49" s="16">
        <v>0.13425127733566936</v>
      </c>
    </row>
    <row r="50" spans="1:7" x14ac:dyDescent="0.25">
      <c r="A50" s="17" t="s">
        <v>9</v>
      </c>
      <c r="B50" s="16">
        <v>0.96799999999999997</v>
      </c>
      <c r="C50" s="16">
        <v>1.2219959266802444E-2</v>
      </c>
      <c r="E50" s="17" t="s">
        <v>9</v>
      </c>
      <c r="F50" s="16">
        <v>0.96799999999999997</v>
      </c>
      <c r="G50" s="16">
        <v>1.2219959266802444E-2</v>
      </c>
    </row>
    <row r="51" spans="1:7" x14ac:dyDescent="0.25">
      <c r="A51" s="17" t="s">
        <v>10</v>
      </c>
      <c r="B51" s="16">
        <v>0.97</v>
      </c>
      <c r="C51" s="16">
        <v>1.1025886864813039E-2</v>
      </c>
      <c r="E51" s="17" t="s">
        <v>10</v>
      </c>
      <c r="F51" s="16">
        <v>0.97</v>
      </c>
      <c r="G51" s="16">
        <v>1.1025886864813039E-2</v>
      </c>
    </row>
    <row r="52" spans="1:7" x14ac:dyDescent="0.25">
      <c r="A52" s="17" t="s">
        <v>11</v>
      </c>
      <c r="B52" s="16">
        <v>0.97099999999999997</v>
      </c>
      <c r="C52" s="16">
        <v>1.049618320610687E-2</v>
      </c>
      <c r="E52" s="17" t="s">
        <v>11</v>
      </c>
      <c r="F52" s="16">
        <v>0.97099999999999997</v>
      </c>
      <c r="G52" s="16">
        <v>1.049618320610687E-2</v>
      </c>
    </row>
    <row r="53" spans="1:7" x14ac:dyDescent="0.25">
      <c r="A53" s="17" t="s">
        <v>12</v>
      </c>
      <c r="B53" s="16">
        <v>0.96699999999999997</v>
      </c>
      <c r="C53" s="16">
        <v>1.0786106032906764E-2</v>
      </c>
      <c r="E53" s="17" t="s">
        <v>12</v>
      </c>
      <c r="F53" s="16">
        <v>0.96699999999999997</v>
      </c>
      <c r="G53" s="16">
        <v>1.0786106032906764E-2</v>
      </c>
    </row>
    <row r="54" spans="1:7" x14ac:dyDescent="0.25">
      <c r="A54" s="17" t="s">
        <v>13</v>
      </c>
      <c r="B54" s="16">
        <v>0.96499999999999997</v>
      </c>
      <c r="C54" s="16">
        <v>1.1764705882352941E-2</v>
      </c>
      <c r="E54" s="17" t="s">
        <v>13</v>
      </c>
      <c r="F54" s="16">
        <v>0.96499999999999997</v>
      </c>
      <c r="G54" s="16">
        <v>1.1764705882352941E-2</v>
      </c>
    </row>
    <row r="55" spans="1:7" x14ac:dyDescent="0.25">
      <c r="A55" s="17" t="s">
        <v>14</v>
      </c>
      <c r="B55" s="16">
        <v>0.97199999999999998</v>
      </c>
      <c r="C55" s="16">
        <v>1.1542012927054479E-2</v>
      </c>
      <c r="E55" s="17" t="s">
        <v>14</v>
      </c>
      <c r="F55" s="16">
        <v>0.97199999999999998</v>
      </c>
      <c r="G55" s="16">
        <v>1.1542012927054479E-2</v>
      </c>
    </row>
    <row r="56" spans="1:7" x14ac:dyDescent="0.25">
      <c r="A56" s="17" t="s">
        <v>15</v>
      </c>
      <c r="B56" s="16">
        <v>0.96399999999999997</v>
      </c>
      <c r="C56" s="16">
        <v>1.1578947368421053E-2</v>
      </c>
      <c r="E56" s="17" t="s">
        <v>15</v>
      </c>
      <c r="F56" s="16">
        <v>0.96399999999999997</v>
      </c>
      <c r="G56" s="16">
        <v>1.1578947368421053E-2</v>
      </c>
    </row>
    <row r="57" spans="1:7" x14ac:dyDescent="0.25">
      <c r="A57" s="17" t="s">
        <v>16</v>
      </c>
      <c r="B57" s="16">
        <v>0.96899999999999997</v>
      </c>
      <c r="C57" s="16">
        <v>1.0447761194029851E-2</v>
      </c>
      <c r="E57" s="17" t="s">
        <v>16</v>
      </c>
      <c r="F57" s="16">
        <v>0.96899999999999997</v>
      </c>
      <c r="G57" s="16">
        <v>1.0447761194029851E-2</v>
      </c>
    </row>
    <row r="58" spans="1:7" x14ac:dyDescent="0.25">
      <c r="A58" s="17" t="s">
        <v>17</v>
      </c>
      <c r="B58" s="16">
        <v>0.97099999999999997</v>
      </c>
      <c r="C58" s="16">
        <v>1.1847826086956522E-2</v>
      </c>
      <c r="E58" s="17" t="s">
        <v>17</v>
      </c>
      <c r="F58" s="16">
        <v>0.97099999999999997</v>
      </c>
      <c r="G58" s="16">
        <v>1.1847826086956522E-2</v>
      </c>
    </row>
    <row r="59" spans="1:7" x14ac:dyDescent="0.25">
      <c r="A59" s="17" t="s">
        <v>18</v>
      </c>
      <c r="B59" s="16">
        <v>0.96499999999999997</v>
      </c>
      <c r="C59" s="16">
        <v>1.0594059405940595E-2</v>
      </c>
      <c r="E59" s="17" t="s">
        <v>18</v>
      </c>
      <c r="F59" s="16">
        <v>0.96499999999999997</v>
      </c>
      <c r="G59" s="16">
        <v>1.0594059405940595E-2</v>
      </c>
    </row>
    <row r="60" spans="1:7" x14ac:dyDescent="0.25">
      <c r="A60" s="17" t="s">
        <v>19</v>
      </c>
      <c r="B60" s="16">
        <v>0.97</v>
      </c>
      <c r="C60" s="16">
        <v>1.0501419110690633E-2</v>
      </c>
      <c r="E60" s="17" t="s">
        <v>19</v>
      </c>
      <c r="F60" s="16">
        <v>0.97</v>
      </c>
      <c r="G60" s="16">
        <v>1.0501419110690633E-2</v>
      </c>
    </row>
    <row r="61" spans="1:7" x14ac:dyDescent="0.25">
      <c r="A61" s="17" t="s">
        <v>20</v>
      </c>
      <c r="B61" s="16">
        <v>0.96599999999999997</v>
      </c>
      <c r="C61" s="16">
        <v>1.1446409989594173E-2</v>
      </c>
      <c r="E61" s="17" t="s">
        <v>20</v>
      </c>
      <c r="F61" s="16">
        <v>0.96599999999999997</v>
      </c>
      <c r="G61" s="16">
        <v>1.1446409989594173E-2</v>
      </c>
    </row>
    <row r="62" spans="1:7" x14ac:dyDescent="0.25">
      <c r="A62" s="15" t="s">
        <v>27</v>
      </c>
      <c r="B62" s="16">
        <v>0.96816666666666673</v>
      </c>
      <c r="C62" s="16">
        <v>1.1187606444639113E-2</v>
      </c>
      <c r="E62" s="15" t="s">
        <v>27</v>
      </c>
      <c r="F62" s="16">
        <v>11.618</v>
      </c>
      <c r="G62" s="16">
        <v>0.13425127733566936</v>
      </c>
    </row>
  </sheetData>
  <mergeCells count="1">
    <mergeCell ref="A1:E1"/>
  </mergeCells>
  <pageMargins left="0.7" right="0.7" top="0.75" bottom="0.75" header="0.3" footer="0.3"/>
  <pageSetup orientation="portrait" horizontalDpi="0" verticalDpi="0" r:id="rId10"/>
  <drawing r:id="rId1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39"/>
  <sheetViews>
    <sheetView showGridLines="0" zoomScaleNormal="100" workbookViewId="0">
      <selection activeCell="B23" sqref="B23"/>
    </sheetView>
  </sheetViews>
  <sheetFormatPr defaultRowHeight="15" x14ac:dyDescent="0.25"/>
  <cols>
    <col min="1" max="1" width="25.140625" style="2" customWidth="1"/>
    <col min="2" max="2" width="21.7109375" style="2" customWidth="1"/>
    <col min="3" max="3" width="13.140625" style="2" customWidth="1"/>
    <col min="4" max="4" width="15.5703125" style="2" bestFit="1" customWidth="1"/>
    <col min="5" max="6" width="13.140625" style="2" customWidth="1"/>
    <col min="7" max="7" width="24.7109375" style="2" bestFit="1" customWidth="1"/>
    <col min="8" max="9" width="13.140625" style="2" customWidth="1"/>
    <col min="10" max="10" width="18.28515625" style="2" bestFit="1" customWidth="1"/>
    <col min="11" max="12" width="13.140625" style="2" customWidth="1"/>
    <col min="13" max="13" width="26.7109375" style="2" bestFit="1" customWidth="1"/>
    <col min="14" max="15" width="13.140625" style="2" customWidth="1"/>
    <col min="16" max="16" width="27.140625" style="2" bestFit="1" customWidth="1"/>
    <col min="17" max="18" width="13.140625" style="2" customWidth="1"/>
    <col min="19" max="19" width="38.140625" style="2" bestFit="1" customWidth="1"/>
    <col min="20" max="20" width="13.140625" style="2" customWidth="1"/>
    <col min="21" max="21" width="25.42578125" style="2" customWidth="1"/>
    <col min="22" max="16384" width="9.140625" style="2"/>
  </cols>
  <sheetData>
    <row r="1" spans="1:21" s="11" customFormat="1" ht="21" x14ac:dyDescent="0.35">
      <c r="A1" s="18"/>
      <c r="B1" s="18"/>
      <c r="C1" s="18"/>
      <c r="D1" s="18"/>
      <c r="E1" s="18"/>
    </row>
    <row r="2" spans="1:21" s="11" customFormat="1" x14ac:dyDescent="0.25"/>
    <row r="3" spans="1:21" s="11" customFormat="1" x14ac:dyDescent="0.25"/>
    <row r="4" spans="1:21" x14ac:dyDescent="0.25">
      <c r="A4" s="13" t="s">
        <v>33</v>
      </c>
      <c r="C4" s="20" t="s">
        <v>26</v>
      </c>
      <c r="D4" t="s">
        <v>28</v>
      </c>
      <c r="E4"/>
      <c r="F4" s="20" t="s">
        <v>26</v>
      </c>
      <c r="G4" t="s">
        <v>50</v>
      </c>
      <c r="H4"/>
      <c r="I4" s="20" t="s">
        <v>26</v>
      </c>
      <c r="J4" t="s">
        <v>51</v>
      </c>
      <c r="K4"/>
      <c r="L4" s="20" t="s">
        <v>26</v>
      </c>
      <c r="M4" t="s">
        <v>29</v>
      </c>
      <c r="N4"/>
      <c r="O4" s="20" t="s">
        <v>26</v>
      </c>
      <c r="P4" t="s">
        <v>35</v>
      </c>
      <c r="Q4"/>
      <c r="R4" s="20" t="s">
        <v>26</v>
      </c>
      <c r="S4" t="s">
        <v>45</v>
      </c>
      <c r="T4"/>
    </row>
    <row r="5" spans="1:21" x14ac:dyDescent="0.25">
      <c r="A5" s="14">
        <v>2.3178847419704583E-2</v>
      </c>
      <c r="C5" s="21">
        <v>2020</v>
      </c>
      <c r="D5" s="22">
        <v>49070000</v>
      </c>
      <c r="E5"/>
      <c r="F5" s="21">
        <v>2020</v>
      </c>
      <c r="G5" s="22">
        <v>32840000</v>
      </c>
      <c r="H5"/>
      <c r="I5" s="21">
        <v>2020</v>
      </c>
      <c r="J5" s="22">
        <v>16230000</v>
      </c>
      <c r="K5"/>
      <c r="L5" s="21">
        <v>2020</v>
      </c>
      <c r="M5" s="22">
        <v>0.33067499787928234</v>
      </c>
      <c r="N5"/>
      <c r="O5" s="21">
        <v>2020</v>
      </c>
      <c r="P5" s="22">
        <v>11.27</v>
      </c>
      <c r="Q5"/>
      <c r="R5" s="21">
        <v>2020</v>
      </c>
      <c r="S5" s="22">
        <v>0.84566666666666668</v>
      </c>
      <c r="T5"/>
      <c r="U5" s="12"/>
    </row>
    <row r="6" spans="1:21" x14ac:dyDescent="0.25">
      <c r="C6" s="21">
        <v>2021</v>
      </c>
      <c r="D6" s="22">
        <v>54710000</v>
      </c>
      <c r="E6"/>
      <c r="F6" s="21">
        <v>2021</v>
      </c>
      <c r="G6" s="22">
        <v>36210000</v>
      </c>
      <c r="H6"/>
      <c r="I6" s="21">
        <v>2021</v>
      </c>
      <c r="J6" s="22">
        <v>18500000</v>
      </c>
      <c r="K6"/>
      <c r="L6" s="21">
        <v>2021</v>
      </c>
      <c r="M6" s="22">
        <v>0.33805173366172131</v>
      </c>
      <c r="N6"/>
      <c r="O6" s="21">
        <v>2021</v>
      </c>
      <c r="P6" s="22">
        <v>11.465999999999998</v>
      </c>
      <c r="Q6"/>
      <c r="R6" s="21">
        <v>2021</v>
      </c>
      <c r="S6" s="22">
        <v>0.85263170163170143</v>
      </c>
      <c r="T6"/>
      <c r="U6" s="12"/>
    </row>
    <row r="7" spans="1:21" x14ac:dyDescent="0.25">
      <c r="C7" s="21">
        <v>2022</v>
      </c>
      <c r="D7" s="22">
        <v>60960000</v>
      </c>
      <c r="E7"/>
      <c r="F7" s="21">
        <v>2022</v>
      </c>
      <c r="G7" s="22">
        <v>39920000</v>
      </c>
      <c r="H7"/>
      <c r="I7" s="21">
        <v>2022</v>
      </c>
      <c r="J7" s="22">
        <v>21040000</v>
      </c>
      <c r="K7"/>
      <c r="L7" s="21">
        <v>2022</v>
      </c>
      <c r="M7" s="22">
        <v>0.34497050644385885</v>
      </c>
      <c r="N7"/>
      <c r="O7" s="21">
        <v>2022</v>
      </c>
      <c r="P7" s="22">
        <v>11.580999999999998</v>
      </c>
      <c r="Q7"/>
      <c r="R7" s="21">
        <v>2022</v>
      </c>
      <c r="S7" s="22">
        <v>0.85959673659673641</v>
      </c>
      <c r="T7"/>
      <c r="U7" s="12"/>
    </row>
    <row r="8" spans="1:21" x14ac:dyDescent="0.25">
      <c r="C8" s="21">
        <v>2023</v>
      </c>
      <c r="D8" s="22">
        <v>62300000</v>
      </c>
      <c r="E8"/>
      <c r="F8" s="21">
        <v>2023</v>
      </c>
      <c r="G8" s="22">
        <v>36720000</v>
      </c>
      <c r="H8"/>
      <c r="I8" s="21">
        <v>2023</v>
      </c>
      <c r="J8" s="22">
        <v>25580000</v>
      </c>
      <c r="K8"/>
      <c r="L8" s="21">
        <v>2023</v>
      </c>
      <c r="M8" s="22">
        <v>0.40937722830651757</v>
      </c>
      <c r="N8"/>
      <c r="O8" s="21">
        <v>2023</v>
      </c>
      <c r="P8" s="22">
        <v>11.618</v>
      </c>
      <c r="Q8"/>
      <c r="R8" s="21">
        <v>2023</v>
      </c>
      <c r="S8" s="22">
        <v>0.86656177156177128</v>
      </c>
      <c r="T8"/>
      <c r="U8" s="12"/>
    </row>
    <row r="9" spans="1:21" x14ac:dyDescent="0.25">
      <c r="C9" s="21">
        <v>2024</v>
      </c>
      <c r="D9" s="22">
        <v>55190000</v>
      </c>
      <c r="E9"/>
      <c r="F9" s="21">
        <v>2024</v>
      </c>
      <c r="G9" s="22">
        <v>34070000</v>
      </c>
      <c r="H9"/>
      <c r="I9" s="21">
        <v>2024</v>
      </c>
      <c r="J9" s="22">
        <v>21120000</v>
      </c>
      <c r="K9"/>
      <c r="L9" s="21">
        <v>2024</v>
      </c>
      <c r="M9" s="22">
        <v>0.38198184984930256</v>
      </c>
      <c r="N9"/>
      <c r="O9" s="21">
        <v>2024</v>
      </c>
      <c r="P9" s="22">
        <v>11.507</v>
      </c>
      <c r="Q9"/>
      <c r="R9" s="21">
        <v>2024</v>
      </c>
      <c r="S9" s="22">
        <v>0.87352680652680625</v>
      </c>
      <c r="T9"/>
      <c r="U9" s="12"/>
    </row>
    <row r="10" spans="1:21" x14ac:dyDescent="0.25">
      <c r="C10" s="21" t="s">
        <v>27</v>
      </c>
      <c r="D10" s="22">
        <v>282230000</v>
      </c>
      <c r="E10"/>
      <c r="F10" s="21" t="s">
        <v>27</v>
      </c>
      <c r="G10" s="22">
        <v>179760000</v>
      </c>
      <c r="H10"/>
      <c r="I10" s="21" t="s">
        <v>27</v>
      </c>
      <c r="J10" s="22">
        <v>102470000</v>
      </c>
      <c r="K10"/>
      <c r="L10" s="21" t="s">
        <v>27</v>
      </c>
      <c r="M10" s="22">
        <v>0.36101126322813659</v>
      </c>
      <c r="N10"/>
      <c r="O10" s="21" t="s">
        <v>27</v>
      </c>
      <c r="P10" s="22">
        <v>57.441999999999993</v>
      </c>
      <c r="Q10"/>
      <c r="R10" s="21" t="s">
        <v>27</v>
      </c>
      <c r="S10" s="22">
        <v>0.85959673659673641</v>
      </c>
      <c r="T10"/>
      <c r="U10" s="12"/>
    </row>
    <row r="11" spans="1:21" x14ac:dyDescent="0.25">
      <c r="C11"/>
      <c r="D11"/>
      <c r="E11"/>
      <c r="F11"/>
      <c r="G11"/>
      <c r="H11"/>
      <c r="I11"/>
      <c r="J11"/>
      <c r="K11"/>
      <c r="L11"/>
      <c r="M11"/>
      <c r="N11"/>
      <c r="O11"/>
      <c r="P11"/>
      <c r="Q11"/>
      <c r="R11"/>
      <c r="S11"/>
      <c r="T11"/>
      <c r="U11" s="12"/>
    </row>
    <row r="12" spans="1:21" x14ac:dyDescent="0.25">
      <c r="C12"/>
      <c r="D12"/>
      <c r="E12"/>
      <c r="F12"/>
      <c r="G12"/>
      <c r="H12"/>
      <c r="I12"/>
      <c r="J12"/>
      <c r="K12"/>
      <c r="L12"/>
      <c r="M12"/>
      <c r="N12"/>
      <c r="O12"/>
      <c r="P12"/>
      <c r="Q12"/>
      <c r="R12"/>
      <c r="S12"/>
      <c r="T12"/>
      <c r="U12" s="12"/>
    </row>
    <row r="13" spans="1:21" x14ac:dyDescent="0.25">
      <c r="C13"/>
      <c r="D13"/>
      <c r="E13"/>
      <c r="F13"/>
      <c r="G13"/>
      <c r="H13"/>
      <c r="I13"/>
      <c r="J13"/>
      <c r="K13"/>
      <c r="L13"/>
      <c r="M13"/>
      <c r="N13"/>
      <c r="O13"/>
      <c r="P13"/>
      <c r="Q13"/>
      <c r="R13"/>
      <c r="S13"/>
      <c r="T13"/>
      <c r="U13" s="12"/>
    </row>
    <row r="14" spans="1:21" x14ac:dyDescent="0.25">
      <c r="C14"/>
      <c r="D14"/>
      <c r="E14"/>
      <c r="F14"/>
      <c r="G14"/>
      <c r="H14"/>
      <c r="I14"/>
      <c r="J14"/>
      <c r="K14"/>
      <c r="L14"/>
      <c r="M14"/>
      <c r="N14"/>
      <c r="O14"/>
      <c r="P14"/>
      <c r="Q14"/>
      <c r="R14"/>
      <c r="S14"/>
      <c r="T14"/>
      <c r="U14" s="12"/>
    </row>
    <row r="15" spans="1:21" x14ac:dyDescent="0.25">
      <c r="C15"/>
      <c r="D15"/>
      <c r="E15"/>
      <c r="F15"/>
      <c r="G15"/>
      <c r="H15"/>
      <c r="I15"/>
      <c r="J15"/>
      <c r="K15"/>
      <c r="L15"/>
      <c r="M15"/>
      <c r="N15"/>
      <c r="O15"/>
      <c r="P15"/>
      <c r="Q15"/>
      <c r="R15"/>
      <c r="S15"/>
      <c r="T15"/>
      <c r="U15" s="12"/>
    </row>
    <row r="16" spans="1:21" x14ac:dyDescent="0.25">
      <c r="C16"/>
      <c r="D16"/>
      <c r="E16"/>
      <c r="F16"/>
      <c r="G16"/>
      <c r="H16"/>
      <c r="I16"/>
      <c r="J16"/>
      <c r="K16"/>
      <c r="L16"/>
      <c r="M16"/>
      <c r="N16"/>
      <c r="O16"/>
      <c r="P16"/>
      <c r="Q16"/>
      <c r="R16"/>
      <c r="S16"/>
      <c r="T16"/>
      <c r="U16" s="12"/>
    </row>
    <row r="17" spans="1:21" x14ac:dyDescent="0.25">
      <c r="C17"/>
      <c r="D17"/>
      <c r="E17"/>
      <c r="F17"/>
      <c r="G17"/>
      <c r="H17"/>
      <c r="I17"/>
      <c r="J17"/>
      <c r="K17"/>
      <c r="L17"/>
      <c r="M17"/>
      <c r="N17"/>
      <c r="O17"/>
      <c r="P17"/>
      <c r="Q17"/>
      <c r="R17"/>
      <c r="S17"/>
      <c r="T17"/>
      <c r="U17" s="12"/>
    </row>
    <row r="18" spans="1:21" x14ac:dyDescent="0.25">
      <c r="C18"/>
      <c r="D18"/>
      <c r="E18"/>
      <c r="F18"/>
      <c r="G18"/>
      <c r="H18"/>
      <c r="I18"/>
      <c r="J18"/>
      <c r="K18"/>
      <c r="L18"/>
      <c r="M18"/>
      <c r="N18"/>
      <c r="O18"/>
      <c r="P18"/>
      <c r="Q18"/>
      <c r="R18"/>
      <c r="S18"/>
      <c r="T18"/>
      <c r="U18" s="12"/>
    </row>
    <row r="19" spans="1:21" x14ac:dyDescent="0.25">
      <c r="C19"/>
      <c r="D19"/>
      <c r="E19"/>
      <c r="F19"/>
      <c r="G19"/>
      <c r="H19"/>
      <c r="I19"/>
      <c r="J19"/>
      <c r="K19"/>
      <c r="L19"/>
      <c r="M19"/>
      <c r="N19"/>
      <c r="O19"/>
      <c r="P19"/>
      <c r="Q19"/>
      <c r="R19"/>
      <c r="S19"/>
      <c r="T19"/>
    </row>
    <row r="20" spans="1:21" x14ac:dyDescent="0.25">
      <c r="C20"/>
      <c r="D20"/>
      <c r="E20"/>
      <c r="F20"/>
      <c r="G20"/>
      <c r="H20"/>
      <c r="I20"/>
      <c r="J20"/>
      <c r="K20"/>
      <c r="L20"/>
      <c r="M20"/>
      <c r="N20"/>
      <c r="O20"/>
      <c r="P20"/>
      <c r="Q20"/>
      <c r="R20"/>
      <c r="S20"/>
      <c r="T20"/>
    </row>
    <row r="21" spans="1:21" x14ac:dyDescent="0.25">
      <c r="C21"/>
      <c r="D21"/>
      <c r="E21"/>
      <c r="F21"/>
      <c r="G21"/>
      <c r="H21"/>
      <c r="I21"/>
      <c r="J21"/>
      <c r="K21"/>
      <c r="L21"/>
      <c r="M21"/>
      <c r="N21"/>
      <c r="O21"/>
      <c r="P21"/>
      <c r="Q21"/>
      <c r="R21"/>
      <c r="S21"/>
      <c r="T21"/>
    </row>
    <row r="22" spans="1:21" x14ac:dyDescent="0.25">
      <c r="A22" t="s">
        <v>36</v>
      </c>
      <c r="B22"/>
      <c r="C22"/>
    </row>
    <row r="23" spans="1:21" x14ac:dyDescent="0.25">
      <c r="A23" s="23">
        <v>0.95736666666666681</v>
      </c>
      <c r="B23"/>
      <c r="C23"/>
    </row>
    <row r="24" spans="1:21" x14ac:dyDescent="0.25">
      <c r="A24"/>
      <c r="B24"/>
      <c r="C24"/>
    </row>
    <row r="25" spans="1:21" x14ac:dyDescent="0.25">
      <c r="A25"/>
      <c r="B25"/>
      <c r="C25"/>
    </row>
    <row r="26" spans="1:21" x14ac:dyDescent="0.25">
      <c r="A26"/>
      <c r="B26"/>
      <c r="C26"/>
    </row>
    <row r="27" spans="1:21" x14ac:dyDescent="0.25">
      <c r="A27"/>
      <c r="B27"/>
      <c r="C27"/>
    </row>
    <row r="28" spans="1:21" x14ac:dyDescent="0.25">
      <c r="A28"/>
      <c r="B28"/>
      <c r="C28"/>
    </row>
    <row r="29" spans="1:21" x14ac:dyDescent="0.25">
      <c r="A29"/>
      <c r="B29"/>
      <c r="C29"/>
    </row>
    <row r="30" spans="1:21" x14ac:dyDescent="0.25">
      <c r="A30"/>
      <c r="B30"/>
      <c r="C30"/>
    </row>
    <row r="31" spans="1:21" x14ac:dyDescent="0.25">
      <c r="A31"/>
      <c r="B31"/>
      <c r="C31"/>
    </row>
    <row r="32" spans="1:21" x14ac:dyDescent="0.25">
      <c r="A32"/>
      <c r="B32"/>
      <c r="C32"/>
    </row>
    <row r="33" spans="1:3" x14ac:dyDescent="0.25">
      <c r="A33"/>
      <c r="B33"/>
      <c r="C33"/>
    </row>
    <row r="34" spans="1:3" x14ac:dyDescent="0.25">
      <c r="A34"/>
      <c r="B34"/>
      <c r="C34"/>
    </row>
    <row r="35" spans="1:3" x14ac:dyDescent="0.25">
      <c r="A35"/>
      <c r="B35"/>
      <c r="C35"/>
    </row>
    <row r="36" spans="1:3" x14ac:dyDescent="0.25">
      <c r="A36"/>
      <c r="B36"/>
      <c r="C36"/>
    </row>
    <row r="37" spans="1:3" x14ac:dyDescent="0.25">
      <c r="A37"/>
      <c r="B37"/>
      <c r="C37"/>
    </row>
    <row r="38" spans="1:3" x14ac:dyDescent="0.25">
      <c r="A38"/>
      <c r="B38"/>
      <c r="C38"/>
    </row>
    <row r="39" spans="1:3" x14ac:dyDescent="0.25">
      <c r="A39"/>
      <c r="B39"/>
      <c r="C39"/>
    </row>
  </sheetData>
  <mergeCells count="1">
    <mergeCell ref="A1:E1"/>
  </mergeCells>
  <pageMargins left="0.7" right="0.7" top="0.75" bottom="0.75" header="0.3" footer="0.3"/>
  <drawing r:id="rId9"/>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Data</vt:lpstr>
      <vt:lpstr>Pivot Tables</vt:lpstr>
      <vt:lpstr>Pivot Tables 2</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Kyle</dc:creator>
  <cp:lastModifiedBy>Kyle</cp:lastModifiedBy>
  <cp:lastPrinted>2025-06-24T05:35:25Z</cp:lastPrinted>
  <dcterms:created xsi:type="dcterms:W3CDTF">2025-06-23T15:10:41Z</dcterms:created>
  <dcterms:modified xsi:type="dcterms:W3CDTF">2025-06-24T12:38:25Z</dcterms:modified>
</cp:coreProperties>
</file>